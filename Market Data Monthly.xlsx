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amza/Desktop/Case study/Presentation/"/>
    </mc:Choice>
  </mc:AlternateContent>
  <xr:revisionPtr revIDLastSave="0" documentId="8_{2AD892EE-0A2C-2240-86C0-3E97686B9711}" xr6:coauthVersionLast="47" xr6:coauthVersionMax="47" xr10:uidLastSave="{00000000-0000-0000-0000-000000000000}"/>
  <bookViews>
    <workbookView xWindow="0" yWindow="680" windowWidth="34200" windowHeight="21460" tabRatio="500" activeTab="2" xr2:uid="{00000000-000D-0000-FFFF-FFFF00000000}"/>
  </bookViews>
  <sheets>
    <sheet name="README" sheetId="1" r:id="rId1"/>
    <sheet name="Charts" sheetId="2" r:id="rId2"/>
    <sheet name="Assumptions_Sources" sheetId="3" r:id="rId3"/>
    <sheet name="Breakeven_Analysis" sheetId="4" r:id="rId4"/>
    <sheet name="Annual_Capture" sheetId="5" r:id="rId5"/>
    <sheet name="Monthly_Capture" sheetId="6" r:id="rId6"/>
    <sheet name="Sens_ExNegative" sheetId="7" r:id="rId7"/>
    <sheet name="Sens_Weighting" sheetId="8" r:id="rId8"/>
    <sheet name="Monthly_Panel" sheetId="9" r:id="rId9"/>
    <sheet name="Correlations" sheetId="10" r:id="rId10"/>
    <sheet name="Regressions" sheetId="11" r:id="rId11"/>
    <sheet name="Public_Benchmarks" sheetId="12" r:id="rId12"/>
    <sheet name="Methodology" sheetId="13" r:id="rId13"/>
    <sheet name="Chart_Data" sheetId="14" r:id="rId14"/>
    <sheet name="Chart_Data2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2" i="15" l="1"/>
  <c r="D42" i="15"/>
  <c r="C42" i="15"/>
  <c r="B42" i="15"/>
  <c r="E41" i="15"/>
  <c r="D41" i="15"/>
  <c r="C41" i="15"/>
  <c r="B41" i="15"/>
  <c r="E40" i="15"/>
  <c r="D40" i="15"/>
  <c r="C40" i="15"/>
  <c r="B40" i="15"/>
  <c r="I39" i="15"/>
  <c r="L39" i="15" s="1"/>
  <c r="H39" i="15"/>
  <c r="G39" i="15"/>
  <c r="E39" i="15"/>
  <c r="D39" i="15"/>
  <c r="C39" i="15"/>
  <c r="B39" i="15"/>
  <c r="I38" i="15"/>
  <c r="L38" i="15" s="1"/>
  <c r="H38" i="15"/>
  <c r="G38" i="15"/>
  <c r="E38" i="15"/>
  <c r="D38" i="15"/>
  <c r="C38" i="15"/>
  <c r="B38" i="15"/>
  <c r="I37" i="15"/>
  <c r="L37" i="15" s="1"/>
  <c r="H37" i="15"/>
  <c r="G37" i="15"/>
  <c r="E37" i="15"/>
  <c r="D37" i="15"/>
  <c r="C37" i="15"/>
  <c r="B37" i="15"/>
  <c r="I36" i="15"/>
  <c r="J36" i="15" s="1"/>
  <c r="H36" i="15"/>
  <c r="G36" i="15"/>
  <c r="E36" i="15"/>
  <c r="D36" i="15"/>
  <c r="C36" i="15"/>
  <c r="B36" i="15"/>
  <c r="I35" i="15"/>
  <c r="K35" i="15" s="1"/>
  <c r="H35" i="15"/>
  <c r="G35" i="15"/>
  <c r="E35" i="15"/>
  <c r="D35" i="15"/>
  <c r="C35" i="15"/>
  <c r="B35" i="15"/>
  <c r="J34" i="15"/>
  <c r="I34" i="15"/>
  <c r="L34" i="15" s="1"/>
  <c r="H34" i="15"/>
  <c r="G34" i="15"/>
  <c r="E34" i="15"/>
  <c r="D34" i="15"/>
  <c r="C34" i="15"/>
  <c r="B34" i="15"/>
  <c r="L33" i="15"/>
  <c r="K33" i="15"/>
  <c r="J33" i="15"/>
  <c r="I33" i="15"/>
  <c r="H33" i="15"/>
  <c r="G33" i="15"/>
  <c r="E33" i="15"/>
  <c r="D33" i="15"/>
  <c r="C33" i="15"/>
  <c r="B33" i="15"/>
  <c r="I32" i="15"/>
  <c r="K32" i="15" s="1"/>
  <c r="H32" i="15"/>
  <c r="G32" i="15"/>
  <c r="E32" i="15"/>
  <c r="D32" i="15"/>
  <c r="C32" i="15"/>
  <c r="B32" i="15"/>
  <c r="J31" i="15"/>
  <c r="I31" i="15"/>
  <c r="L31" i="15" s="1"/>
  <c r="H31" i="15"/>
  <c r="G31" i="15"/>
  <c r="E31" i="15"/>
  <c r="D31" i="15"/>
  <c r="C31" i="15"/>
  <c r="B31" i="15"/>
  <c r="H30" i="15"/>
  <c r="G30" i="15"/>
  <c r="I30" i="15" s="1"/>
  <c r="E30" i="15"/>
  <c r="D30" i="15"/>
  <c r="C30" i="15"/>
  <c r="B30" i="15"/>
  <c r="H29" i="15"/>
  <c r="G29" i="15"/>
  <c r="I29" i="15" s="1"/>
  <c r="E29" i="15"/>
  <c r="D29" i="15"/>
  <c r="C29" i="15"/>
  <c r="B29" i="15"/>
  <c r="H28" i="15"/>
  <c r="G28" i="15"/>
  <c r="I28" i="15" s="1"/>
  <c r="E28" i="15"/>
  <c r="D28" i="15"/>
  <c r="C28" i="15"/>
  <c r="B28" i="15"/>
  <c r="H27" i="15"/>
  <c r="G27" i="15"/>
  <c r="I27" i="15" s="1"/>
  <c r="E27" i="15"/>
  <c r="D27" i="15"/>
  <c r="C27" i="15"/>
  <c r="B27" i="15"/>
  <c r="H26" i="15"/>
  <c r="G26" i="15"/>
  <c r="I26" i="15" s="1"/>
  <c r="E26" i="15"/>
  <c r="D26" i="15"/>
  <c r="C26" i="15"/>
  <c r="B26" i="15"/>
  <c r="I25" i="15"/>
  <c r="K25" i="15" s="1"/>
  <c r="H25" i="15"/>
  <c r="G25" i="15"/>
  <c r="E25" i="15"/>
  <c r="D25" i="15"/>
  <c r="C25" i="15"/>
  <c r="B25" i="15"/>
  <c r="H24" i="15"/>
  <c r="G24" i="15"/>
  <c r="I24" i="15" s="1"/>
  <c r="E24" i="15"/>
  <c r="D24" i="15"/>
  <c r="C24" i="15"/>
  <c r="B24" i="15"/>
  <c r="H23" i="15"/>
  <c r="G23" i="15"/>
  <c r="I23" i="15" s="1"/>
  <c r="E23" i="15"/>
  <c r="D23" i="15"/>
  <c r="C23" i="15"/>
  <c r="B23" i="15"/>
  <c r="H22" i="15"/>
  <c r="I22" i="15" s="1"/>
  <c r="G22" i="15"/>
  <c r="E22" i="15"/>
  <c r="D22" i="15"/>
  <c r="C22" i="15"/>
  <c r="B22" i="15"/>
  <c r="I21" i="15"/>
  <c r="H21" i="15"/>
  <c r="G21" i="15"/>
  <c r="E21" i="15"/>
  <c r="D21" i="15"/>
  <c r="C21" i="15"/>
  <c r="B21" i="15"/>
  <c r="L20" i="15"/>
  <c r="K20" i="15"/>
  <c r="J20" i="15"/>
  <c r="I20" i="15"/>
  <c r="H20" i="15"/>
  <c r="G20" i="15"/>
  <c r="E20" i="15"/>
  <c r="D20" i="15"/>
  <c r="C20" i="15"/>
  <c r="B20" i="15"/>
  <c r="L19" i="15"/>
  <c r="H19" i="15"/>
  <c r="G19" i="15"/>
  <c r="I19" i="15" s="1"/>
  <c r="J19" i="15" s="1"/>
  <c r="E19" i="15"/>
  <c r="D19" i="15"/>
  <c r="C19" i="15"/>
  <c r="B19" i="15"/>
  <c r="H18" i="15"/>
  <c r="G18" i="15"/>
  <c r="I18" i="15" s="1"/>
  <c r="E18" i="15"/>
  <c r="D18" i="15"/>
  <c r="C18" i="15"/>
  <c r="B18" i="15"/>
  <c r="H17" i="15"/>
  <c r="G17" i="15"/>
  <c r="I17" i="15" s="1"/>
  <c r="E17" i="15"/>
  <c r="D17" i="15"/>
  <c r="C17" i="15"/>
  <c r="B17" i="15"/>
  <c r="H16" i="15"/>
  <c r="G16" i="15"/>
  <c r="I16" i="15" s="1"/>
  <c r="E16" i="15"/>
  <c r="D16" i="15"/>
  <c r="C16" i="15"/>
  <c r="B16" i="15"/>
  <c r="I15" i="15"/>
  <c r="K15" i="15" s="1"/>
  <c r="H15" i="15"/>
  <c r="G15" i="15"/>
  <c r="E15" i="15"/>
  <c r="D15" i="15"/>
  <c r="C15" i="15"/>
  <c r="B15" i="15"/>
  <c r="H14" i="15"/>
  <c r="G14" i="15"/>
  <c r="I14" i="15" s="1"/>
  <c r="E14" i="15"/>
  <c r="D14" i="15"/>
  <c r="C14" i="15"/>
  <c r="B14" i="15"/>
  <c r="H13" i="15"/>
  <c r="G13" i="15"/>
  <c r="I13" i="15" s="1"/>
  <c r="E13" i="15"/>
  <c r="D13" i="15"/>
  <c r="C13" i="15"/>
  <c r="B13" i="15"/>
  <c r="H12" i="15"/>
  <c r="I12" i="15" s="1"/>
  <c r="G12" i="15"/>
  <c r="E12" i="15"/>
  <c r="D12" i="15"/>
  <c r="C12" i="15"/>
  <c r="B12" i="15"/>
  <c r="I11" i="15"/>
  <c r="H11" i="15"/>
  <c r="G11" i="15"/>
  <c r="E11" i="15"/>
  <c r="D11" i="15"/>
  <c r="C11" i="15"/>
  <c r="B11" i="15"/>
  <c r="K10" i="15"/>
  <c r="H10" i="15"/>
  <c r="G10" i="15"/>
  <c r="I10" i="15" s="1"/>
  <c r="L10" i="15" s="1"/>
  <c r="E10" i="15"/>
  <c r="D10" i="15"/>
  <c r="C10" i="15"/>
  <c r="B10" i="15"/>
  <c r="L9" i="15"/>
  <c r="K9" i="15"/>
  <c r="H9" i="15"/>
  <c r="G9" i="15"/>
  <c r="I9" i="15" s="1"/>
  <c r="J9" i="15" s="1"/>
  <c r="E9" i="15"/>
  <c r="D9" i="15"/>
  <c r="C9" i="15"/>
  <c r="B9" i="15"/>
  <c r="L8" i="15"/>
  <c r="H8" i="15"/>
  <c r="G8" i="15"/>
  <c r="I8" i="15" s="1"/>
  <c r="E8" i="15"/>
  <c r="D8" i="15"/>
  <c r="C8" i="15"/>
  <c r="B8" i="15"/>
  <c r="H7" i="15"/>
  <c r="G7" i="15"/>
  <c r="I7" i="15" s="1"/>
  <c r="E7" i="15"/>
  <c r="D7" i="15"/>
  <c r="C7" i="15"/>
  <c r="B7" i="15"/>
  <c r="H6" i="15"/>
  <c r="G6" i="15"/>
  <c r="I6" i="15" s="1"/>
  <c r="E6" i="15"/>
  <c r="D6" i="15"/>
  <c r="C6" i="15"/>
  <c r="B6" i="15"/>
  <c r="I5" i="15"/>
  <c r="K5" i="15" s="1"/>
  <c r="H5" i="15"/>
  <c r="G5" i="15"/>
  <c r="E5" i="15"/>
  <c r="D5" i="15"/>
  <c r="C5" i="15"/>
  <c r="B5" i="15"/>
  <c r="H4" i="15"/>
  <c r="G4" i="15"/>
  <c r="I4" i="15" s="1"/>
  <c r="E4" i="15"/>
  <c r="D4" i="15"/>
  <c r="C4" i="15"/>
  <c r="B4" i="15"/>
  <c r="H3" i="15"/>
  <c r="G3" i="15"/>
  <c r="E3" i="15"/>
  <c r="D3" i="15"/>
  <c r="C3" i="15"/>
  <c r="B3" i="15"/>
  <c r="H2" i="15"/>
  <c r="I2" i="15" s="1"/>
  <c r="G2" i="15"/>
  <c r="E2" i="15"/>
  <c r="D2" i="15"/>
  <c r="C2" i="15"/>
  <c r="B2" i="15"/>
  <c r="O10" i="7"/>
  <c r="N10" i="7"/>
  <c r="M10" i="7"/>
  <c r="P10" i="7" s="1"/>
  <c r="L10" i="7"/>
  <c r="K10" i="7"/>
  <c r="J10" i="7"/>
  <c r="M9" i="7"/>
  <c r="P9" i="7" s="1"/>
  <c r="L9" i="7"/>
  <c r="O9" i="7" s="1"/>
  <c r="K9" i="7"/>
  <c r="N9" i="7" s="1"/>
  <c r="J9" i="7"/>
  <c r="M8" i="7"/>
  <c r="P8" i="7" s="1"/>
  <c r="L8" i="7"/>
  <c r="O8" i="7" s="1"/>
  <c r="K8" i="7"/>
  <c r="N8" i="7" s="1"/>
  <c r="J8" i="7"/>
  <c r="P7" i="7"/>
  <c r="O7" i="7"/>
  <c r="N7" i="7"/>
  <c r="M7" i="7"/>
  <c r="L7" i="7"/>
  <c r="K7" i="7"/>
  <c r="J7" i="7"/>
  <c r="P6" i="7"/>
  <c r="M6" i="7"/>
  <c r="L6" i="7"/>
  <c r="O6" i="7" s="1"/>
  <c r="K6" i="7"/>
  <c r="N6" i="7" s="1"/>
  <c r="J6" i="7"/>
  <c r="M5" i="7"/>
  <c r="P5" i="7" s="1"/>
  <c r="L5" i="7"/>
  <c r="O5" i="7" s="1"/>
  <c r="K5" i="7"/>
  <c r="N5" i="7" s="1"/>
  <c r="J5" i="7"/>
  <c r="P4" i="7"/>
  <c r="O4" i="7"/>
  <c r="M4" i="7"/>
  <c r="L4" i="7"/>
  <c r="K4" i="7"/>
  <c r="N4" i="7" s="1"/>
  <c r="J4" i="7"/>
  <c r="N3" i="7"/>
  <c r="M3" i="7"/>
  <c r="P3" i="7" s="1"/>
  <c r="L3" i="7"/>
  <c r="O3" i="7" s="1"/>
  <c r="K3" i="7"/>
  <c r="J3" i="7"/>
  <c r="M2" i="7"/>
  <c r="L2" i="7"/>
  <c r="K2" i="7"/>
  <c r="J2" i="7"/>
  <c r="Y100" i="6"/>
  <c r="X100" i="6"/>
  <c r="W100" i="6"/>
  <c r="V100" i="6"/>
  <c r="R100" i="6"/>
  <c r="Q100" i="6"/>
  <c r="P100" i="6"/>
  <c r="O100" i="6"/>
  <c r="Y99" i="6"/>
  <c r="X99" i="6"/>
  <c r="W99" i="6"/>
  <c r="V99" i="6"/>
  <c r="R99" i="6"/>
  <c r="U99" i="6" s="1"/>
  <c r="Q99" i="6"/>
  <c r="T99" i="6" s="1"/>
  <c r="P99" i="6"/>
  <c r="S99" i="6" s="1"/>
  <c r="O99" i="6"/>
  <c r="Y98" i="6"/>
  <c r="X98" i="6"/>
  <c r="W98" i="6"/>
  <c r="V98" i="6"/>
  <c r="S98" i="6"/>
  <c r="R98" i="6"/>
  <c r="U98" i="6" s="1"/>
  <c r="Q98" i="6"/>
  <c r="T98" i="6" s="1"/>
  <c r="P98" i="6"/>
  <c r="O98" i="6"/>
  <c r="Y97" i="6"/>
  <c r="X97" i="6"/>
  <c r="W97" i="6"/>
  <c r="V97" i="6"/>
  <c r="T97" i="6"/>
  <c r="S97" i="6"/>
  <c r="R97" i="6"/>
  <c r="U97" i="6" s="1"/>
  <c r="Q97" i="6"/>
  <c r="P97" i="6"/>
  <c r="O97" i="6"/>
  <c r="Y96" i="6"/>
  <c r="X96" i="6"/>
  <c r="W96" i="6"/>
  <c r="V96" i="6"/>
  <c r="U96" i="6"/>
  <c r="T96" i="6"/>
  <c r="S96" i="6"/>
  <c r="R96" i="6"/>
  <c r="Q96" i="6"/>
  <c r="P96" i="6"/>
  <c r="O96" i="6"/>
  <c r="Y95" i="6"/>
  <c r="X95" i="6"/>
  <c r="W95" i="6"/>
  <c r="V95" i="6"/>
  <c r="U95" i="6"/>
  <c r="T95" i="6"/>
  <c r="R95" i="6"/>
  <c r="Q95" i="6"/>
  <c r="P95" i="6"/>
  <c r="S95" i="6" s="1"/>
  <c r="O95" i="6"/>
  <c r="Y94" i="6"/>
  <c r="X94" i="6"/>
  <c r="W94" i="6"/>
  <c r="V94" i="6"/>
  <c r="U94" i="6"/>
  <c r="R94" i="6"/>
  <c r="Q94" i="6"/>
  <c r="T94" i="6" s="1"/>
  <c r="P94" i="6"/>
  <c r="S94" i="6" s="1"/>
  <c r="O94" i="6"/>
  <c r="Y93" i="6"/>
  <c r="X93" i="6"/>
  <c r="W93" i="6"/>
  <c r="V93" i="6"/>
  <c r="R93" i="6"/>
  <c r="U93" i="6" s="1"/>
  <c r="Q93" i="6"/>
  <c r="T93" i="6" s="1"/>
  <c r="P93" i="6"/>
  <c r="S93" i="6" s="1"/>
  <c r="O93" i="6"/>
  <c r="Y92" i="6"/>
  <c r="X92" i="6"/>
  <c r="W92" i="6"/>
  <c r="V92" i="6"/>
  <c r="R92" i="6"/>
  <c r="U92" i="6" s="1"/>
  <c r="Q92" i="6"/>
  <c r="T92" i="6" s="1"/>
  <c r="P92" i="6"/>
  <c r="S92" i="6" s="1"/>
  <c r="O92" i="6"/>
  <c r="Y91" i="6"/>
  <c r="X91" i="6"/>
  <c r="W91" i="6"/>
  <c r="V91" i="6"/>
  <c r="R91" i="6"/>
  <c r="Q91" i="6"/>
  <c r="P91" i="6"/>
  <c r="O91" i="6"/>
  <c r="Y90" i="6"/>
  <c r="X90" i="6"/>
  <c r="W90" i="6"/>
  <c r="V90" i="6"/>
  <c r="R90" i="6"/>
  <c r="Q90" i="6"/>
  <c r="P90" i="6"/>
  <c r="O90" i="6"/>
  <c r="Y89" i="6"/>
  <c r="X89" i="6"/>
  <c r="W89" i="6"/>
  <c r="V89" i="6"/>
  <c r="R89" i="6"/>
  <c r="U89" i="6" s="1"/>
  <c r="Q89" i="6"/>
  <c r="T89" i="6" s="1"/>
  <c r="P89" i="6"/>
  <c r="S89" i="6" s="1"/>
  <c r="O89" i="6"/>
  <c r="Y88" i="6"/>
  <c r="X88" i="6"/>
  <c r="W88" i="6"/>
  <c r="V88" i="6"/>
  <c r="S88" i="6"/>
  <c r="R88" i="6"/>
  <c r="U88" i="6" s="1"/>
  <c r="Q88" i="6"/>
  <c r="T88" i="6" s="1"/>
  <c r="P88" i="6"/>
  <c r="O88" i="6"/>
  <c r="Y87" i="6"/>
  <c r="X87" i="6"/>
  <c r="W87" i="6"/>
  <c r="V87" i="6"/>
  <c r="T87" i="6"/>
  <c r="S87" i="6"/>
  <c r="R87" i="6"/>
  <c r="U87" i="6" s="1"/>
  <c r="Q87" i="6"/>
  <c r="P87" i="6"/>
  <c r="O87" i="6"/>
  <c r="Y86" i="6"/>
  <c r="X86" i="6"/>
  <c r="W86" i="6"/>
  <c r="V86" i="6"/>
  <c r="U86" i="6"/>
  <c r="T86" i="6"/>
  <c r="S86" i="6"/>
  <c r="R86" i="6"/>
  <c r="Q86" i="6"/>
  <c r="P86" i="6"/>
  <c r="O86" i="6"/>
  <c r="Y85" i="6"/>
  <c r="X85" i="6"/>
  <c r="W85" i="6"/>
  <c r="V85" i="6"/>
  <c r="U85" i="6"/>
  <c r="T85" i="6"/>
  <c r="R85" i="6"/>
  <c r="Q85" i="6"/>
  <c r="P85" i="6"/>
  <c r="S85" i="6" s="1"/>
  <c r="O85" i="6"/>
  <c r="Y84" i="6"/>
  <c r="X84" i="6"/>
  <c r="W84" i="6"/>
  <c r="V84" i="6"/>
  <c r="U84" i="6"/>
  <c r="R84" i="6"/>
  <c r="Q84" i="6"/>
  <c r="T84" i="6" s="1"/>
  <c r="P84" i="6"/>
  <c r="S84" i="6" s="1"/>
  <c r="O84" i="6"/>
  <c r="Y83" i="6"/>
  <c r="X83" i="6"/>
  <c r="W83" i="6"/>
  <c r="V83" i="6"/>
  <c r="R83" i="6"/>
  <c r="U83" i="6" s="1"/>
  <c r="Q83" i="6"/>
  <c r="T83" i="6" s="1"/>
  <c r="P83" i="6"/>
  <c r="S83" i="6" s="1"/>
  <c r="O83" i="6"/>
  <c r="Y82" i="6"/>
  <c r="X82" i="6"/>
  <c r="W82" i="6"/>
  <c r="V82" i="6"/>
  <c r="R82" i="6"/>
  <c r="U82" i="6" s="1"/>
  <c r="Q82" i="6"/>
  <c r="T82" i="6" s="1"/>
  <c r="P82" i="6"/>
  <c r="S82" i="6" s="1"/>
  <c r="O82" i="6"/>
  <c r="Y81" i="6"/>
  <c r="X81" i="6"/>
  <c r="W81" i="6"/>
  <c r="V81" i="6"/>
  <c r="R81" i="6"/>
  <c r="Q81" i="6"/>
  <c r="P81" i="6"/>
  <c r="O81" i="6"/>
  <c r="Y80" i="6"/>
  <c r="X80" i="6"/>
  <c r="W80" i="6"/>
  <c r="V80" i="6"/>
  <c r="R80" i="6"/>
  <c r="U80" i="6" s="1"/>
  <c r="Q80" i="6"/>
  <c r="P80" i="6"/>
  <c r="O80" i="6"/>
  <c r="Y79" i="6"/>
  <c r="X79" i="6"/>
  <c r="W79" i="6"/>
  <c r="V79" i="6"/>
  <c r="R79" i="6"/>
  <c r="U79" i="6" s="1"/>
  <c r="Q79" i="6"/>
  <c r="T79" i="6" s="1"/>
  <c r="P79" i="6"/>
  <c r="S79" i="6" s="1"/>
  <c r="O79" i="6"/>
  <c r="Y78" i="6"/>
  <c r="X78" i="6"/>
  <c r="W78" i="6"/>
  <c r="V78" i="6"/>
  <c r="S78" i="6"/>
  <c r="R78" i="6"/>
  <c r="U78" i="6" s="1"/>
  <c r="Q78" i="6"/>
  <c r="T78" i="6" s="1"/>
  <c r="P78" i="6"/>
  <c r="O78" i="6"/>
  <c r="Y77" i="6"/>
  <c r="X77" i="6"/>
  <c r="W77" i="6"/>
  <c r="V77" i="6"/>
  <c r="T77" i="6"/>
  <c r="S77" i="6"/>
  <c r="R77" i="6"/>
  <c r="U77" i="6" s="1"/>
  <c r="Q77" i="6"/>
  <c r="P77" i="6"/>
  <c r="O77" i="6"/>
  <c r="Y76" i="6"/>
  <c r="X76" i="6"/>
  <c r="W76" i="6"/>
  <c r="V76" i="6"/>
  <c r="U76" i="6"/>
  <c r="T76" i="6"/>
  <c r="S76" i="6"/>
  <c r="R76" i="6"/>
  <c r="Q76" i="6"/>
  <c r="P76" i="6"/>
  <c r="O76" i="6"/>
  <c r="Y75" i="6"/>
  <c r="X75" i="6"/>
  <c r="W75" i="6"/>
  <c r="V75" i="6"/>
  <c r="U75" i="6"/>
  <c r="T75" i="6"/>
  <c r="R75" i="6"/>
  <c r="Q75" i="6"/>
  <c r="P75" i="6"/>
  <c r="O75" i="6"/>
  <c r="S75" i="6" s="1"/>
  <c r="Y74" i="6"/>
  <c r="X74" i="6"/>
  <c r="W74" i="6"/>
  <c r="V74" i="6"/>
  <c r="U74" i="6"/>
  <c r="R74" i="6"/>
  <c r="Q74" i="6"/>
  <c r="P74" i="6"/>
  <c r="S74" i="6" s="1"/>
  <c r="O74" i="6"/>
  <c r="T74" i="6" s="1"/>
  <c r="Y73" i="6"/>
  <c r="X73" i="6"/>
  <c r="W73" i="6"/>
  <c r="V73" i="6"/>
  <c r="R73" i="6"/>
  <c r="Q73" i="6"/>
  <c r="T73" i="6" s="1"/>
  <c r="P73" i="6"/>
  <c r="S73" i="6" s="1"/>
  <c r="O73" i="6"/>
  <c r="U73" i="6" s="1"/>
  <c r="Y72" i="6"/>
  <c r="X72" i="6"/>
  <c r="W72" i="6"/>
  <c r="V72" i="6"/>
  <c r="R72" i="6"/>
  <c r="U72" i="6" s="1"/>
  <c r="Q72" i="6"/>
  <c r="T72" i="6" s="1"/>
  <c r="P72" i="6"/>
  <c r="S72" i="6" s="1"/>
  <c r="O72" i="6"/>
  <c r="Y71" i="6"/>
  <c r="X71" i="6"/>
  <c r="W71" i="6"/>
  <c r="V71" i="6"/>
  <c r="R71" i="6"/>
  <c r="Q71" i="6"/>
  <c r="P71" i="6"/>
  <c r="O71" i="6"/>
  <c r="Y70" i="6"/>
  <c r="X70" i="6"/>
  <c r="W70" i="6"/>
  <c r="V70" i="6"/>
  <c r="R70" i="6"/>
  <c r="U70" i="6" s="1"/>
  <c r="Q70" i="6"/>
  <c r="T70" i="6" s="1"/>
  <c r="P70" i="6"/>
  <c r="S70" i="6" s="1"/>
  <c r="O70" i="6"/>
  <c r="Y69" i="6"/>
  <c r="X69" i="6"/>
  <c r="W69" i="6"/>
  <c r="V69" i="6"/>
  <c r="R69" i="6"/>
  <c r="U69" i="6" s="1"/>
  <c r="Q69" i="6"/>
  <c r="T69" i="6" s="1"/>
  <c r="P69" i="6"/>
  <c r="S69" i="6" s="1"/>
  <c r="O69" i="6"/>
  <c r="Y68" i="6"/>
  <c r="X68" i="6"/>
  <c r="W68" i="6"/>
  <c r="V68" i="6"/>
  <c r="S68" i="6"/>
  <c r="R68" i="6"/>
  <c r="U68" i="6" s="1"/>
  <c r="Q68" i="6"/>
  <c r="T68" i="6" s="1"/>
  <c r="P68" i="6"/>
  <c r="O68" i="6"/>
  <c r="Y67" i="6"/>
  <c r="X67" i="6"/>
  <c r="W67" i="6"/>
  <c r="V67" i="6"/>
  <c r="T67" i="6"/>
  <c r="S67" i="6"/>
  <c r="R67" i="6"/>
  <c r="U67" i="6" s="1"/>
  <c r="Q67" i="6"/>
  <c r="P67" i="6"/>
  <c r="O67" i="6"/>
  <c r="Y66" i="6"/>
  <c r="X66" i="6"/>
  <c r="W66" i="6"/>
  <c r="V66" i="6"/>
  <c r="U66" i="6"/>
  <c r="T66" i="6"/>
  <c r="S66" i="6"/>
  <c r="R66" i="6"/>
  <c r="Q66" i="6"/>
  <c r="P66" i="6"/>
  <c r="O66" i="6"/>
  <c r="Y65" i="6"/>
  <c r="X65" i="6"/>
  <c r="W65" i="6"/>
  <c r="V65" i="6"/>
  <c r="U65" i="6"/>
  <c r="T65" i="6"/>
  <c r="R65" i="6"/>
  <c r="Q65" i="6"/>
  <c r="P65" i="6"/>
  <c r="O65" i="6"/>
  <c r="S65" i="6" s="1"/>
  <c r="Y64" i="6"/>
  <c r="X64" i="6"/>
  <c r="W64" i="6"/>
  <c r="V64" i="6"/>
  <c r="U64" i="6"/>
  <c r="R64" i="6"/>
  <c r="Q64" i="6"/>
  <c r="P64" i="6"/>
  <c r="S64" i="6" s="1"/>
  <c r="O64" i="6"/>
  <c r="T64" i="6" s="1"/>
  <c r="Y63" i="6"/>
  <c r="X63" i="6"/>
  <c r="W63" i="6"/>
  <c r="V63" i="6"/>
  <c r="R63" i="6"/>
  <c r="Q63" i="6"/>
  <c r="T63" i="6" s="1"/>
  <c r="P63" i="6"/>
  <c r="S63" i="6" s="1"/>
  <c r="O63" i="6"/>
  <c r="U63" i="6" s="1"/>
  <c r="Y62" i="6"/>
  <c r="X62" i="6"/>
  <c r="W62" i="6"/>
  <c r="V62" i="6"/>
  <c r="R62" i="6"/>
  <c r="U62" i="6" s="1"/>
  <c r="Q62" i="6"/>
  <c r="T62" i="6" s="1"/>
  <c r="P62" i="6"/>
  <c r="S62" i="6" s="1"/>
  <c r="O62" i="6"/>
  <c r="Y61" i="6"/>
  <c r="X61" i="6"/>
  <c r="W61" i="6"/>
  <c r="V61" i="6"/>
  <c r="R61" i="6"/>
  <c r="U61" i="6" s="1"/>
  <c r="Q61" i="6"/>
  <c r="T61" i="6" s="1"/>
  <c r="P61" i="6"/>
  <c r="O61" i="6"/>
  <c r="Y60" i="6"/>
  <c r="X60" i="6"/>
  <c r="W60" i="6"/>
  <c r="V60" i="6"/>
  <c r="R60" i="6"/>
  <c r="U60" i="6" s="1"/>
  <c r="Q60" i="6"/>
  <c r="T60" i="6" s="1"/>
  <c r="P60" i="6"/>
  <c r="S60" i="6" s="1"/>
  <c r="O60" i="6"/>
  <c r="Y59" i="6"/>
  <c r="X59" i="6"/>
  <c r="W59" i="6"/>
  <c r="V59" i="6"/>
  <c r="R59" i="6"/>
  <c r="U59" i="6" s="1"/>
  <c r="Q59" i="6"/>
  <c r="T59" i="6" s="1"/>
  <c r="P59" i="6"/>
  <c r="S59" i="6" s="1"/>
  <c r="O59" i="6"/>
  <c r="Y58" i="6"/>
  <c r="X58" i="6"/>
  <c r="W58" i="6"/>
  <c r="V58" i="6"/>
  <c r="S58" i="6"/>
  <c r="R58" i="6"/>
  <c r="U58" i="6" s="1"/>
  <c r="Q58" i="6"/>
  <c r="T58" i="6" s="1"/>
  <c r="P58" i="6"/>
  <c r="O58" i="6"/>
  <c r="Y57" i="6"/>
  <c r="X57" i="6"/>
  <c r="W57" i="6"/>
  <c r="V57" i="6"/>
  <c r="T57" i="6"/>
  <c r="S57" i="6"/>
  <c r="R57" i="6"/>
  <c r="U57" i="6" s="1"/>
  <c r="Q57" i="6"/>
  <c r="P57" i="6"/>
  <c r="O57" i="6"/>
  <c r="Y56" i="6"/>
  <c r="X56" i="6"/>
  <c r="W56" i="6"/>
  <c r="V56" i="6"/>
  <c r="U56" i="6"/>
  <c r="T56" i="6"/>
  <c r="S56" i="6"/>
  <c r="R56" i="6"/>
  <c r="Q56" i="6"/>
  <c r="P56" i="6"/>
  <c r="O56" i="6"/>
  <c r="Y55" i="6"/>
  <c r="X55" i="6"/>
  <c r="W55" i="6"/>
  <c r="V55" i="6"/>
  <c r="U55" i="6"/>
  <c r="T55" i="6"/>
  <c r="R55" i="6"/>
  <c r="Q55" i="6"/>
  <c r="P55" i="6"/>
  <c r="O55" i="6"/>
  <c r="S55" i="6" s="1"/>
  <c r="Y54" i="6"/>
  <c r="X54" i="6"/>
  <c r="W54" i="6"/>
  <c r="V54" i="6"/>
  <c r="U54" i="6"/>
  <c r="R54" i="6"/>
  <c r="Q54" i="6"/>
  <c r="P54" i="6"/>
  <c r="S54" i="6" s="1"/>
  <c r="O54" i="6"/>
  <c r="T54" i="6" s="1"/>
  <c r="Y53" i="6"/>
  <c r="X53" i="6"/>
  <c r="W53" i="6"/>
  <c r="V53" i="6"/>
  <c r="R53" i="6"/>
  <c r="Q53" i="6"/>
  <c r="T53" i="6" s="1"/>
  <c r="P53" i="6"/>
  <c r="S53" i="6" s="1"/>
  <c r="O53" i="6"/>
  <c r="U53" i="6" s="1"/>
  <c r="Y52" i="6"/>
  <c r="X52" i="6"/>
  <c r="W52" i="6"/>
  <c r="V52" i="6"/>
  <c r="R52" i="6"/>
  <c r="U52" i="6" s="1"/>
  <c r="Q52" i="6"/>
  <c r="T52" i="6" s="1"/>
  <c r="P52" i="6"/>
  <c r="S52" i="6" s="1"/>
  <c r="O52" i="6"/>
  <c r="Y51" i="6"/>
  <c r="X51" i="6"/>
  <c r="W51" i="6"/>
  <c r="V51" i="6"/>
  <c r="R51" i="6"/>
  <c r="U51" i="6" s="1"/>
  <c r="Q51" i="6"/>
  <c r="T51" i="6" s="1"/>
  <c r="P51" i="6"/>
  <c r="S51" i="6" s="1"/>
  <c r="O51" i="6"/>
  <c r="Y50" i="6"/>
  <c r="X50" i="6"/>
  <c r="W50" i="6"/>
  <c r="V50" i="6"/>
  <c r="R50" i="6"/>
  <c r="U50" i="6" s="1"/>
  <c r="Q50" i="6"/>
  <c r="P50" i="6"/>
  <c r="O50" i="6"/>
  <c r="Y49" i="6"/>
  <c r="X49" i="6"/>
  <c r="W49" i="6"/>
  <c r="V49" i="6"/>
  <c r="R49" i="6"/>
  <c r="U49" i="6" s="1"/>
  <c r="Q49" i="6"/>
  <c r="T49" i="6" s="1"/>
  <c r="P49" i="6"/>
  <c r="S49" i="6" s="1"/>
  <c r="O49" i="6"/>
  <c r="Y48" i="6"/>
  <c r="X48" i="6"/>
  <c r="W48" i="6"/>
  <c r="V48" i="6"/>
  <c r="S48" i="6"/>
  <c r="R48" i="6"/>
  <c r="U48" i="6" s="1"/>
  <c r="Q48" i="6"/>
  <c r="T48" i="6" s="1"/>
  <c r="P48" i="6"/>
  <c r="O48" i="6"/>
  <c r="Y47" i="6"/>
  <c r="X47" i="6"/>
  <c r="W47" i="6"/>
  <c r="V47" i="6"/>
  <c r="T47" i="6"/>
  <c r="S47" i="6"/>
  <c r="R47" i="6"/>
  <c r="U47" i="6" s="1"/>
  <c r="Q47" i="6"/>
  <c r="P47" i="6"/>
  <c r="O47" i="6"/>
  <c r="Y46" i="6"/>
  <c r="X46" i="6"/>
  <c r="W46" i="6"/>
  <c r="V46" i="6"/>
  <c r="U46" i="6"/>
  <c r="T46" i="6"/>
  <c r="S46" i="6"/>
  <c r="R46" i="6"/>
  <c r="Q46" i="6"/>
  <c r="P46" i="6"/>
  <c r="O46" i="6"/>
  <c r="Y45" i="6"/>
  <c r="X45" i="6"/>
  <c r="W45" i="6"/>
  <c r="V45" i="6"/>
  <c r="U45" i="6"/>
  <c r="T45" i="6"/>
  <c r="R45" i="6"/>
  <c r="Q45" i="6"/>
  <c r="P45" i="6"/>
  <c r="O45" i="6"/>
  <c r="S45" i="6" s="1"/>
  <c r="Y44" i="6"/>
  <c r="X44" i="6"/>
  <c r="W44" i="6"/>
  <c r="V44" i="6"/>
  <c r="U44" i="6"/>
  <c r="R44" i="6"/>
  <c r="Q44" i="6"/>
  <c r="P44" i="6"/>
  <c r="O44" i="6"/>
  <c r="T44" i="6" s="1"/>
  <c r="Y43" i="6"/>
  <c r="X43" i="6"/>
  <c r="W43" i="6"/>
  <c r="V43" i="6"/>
  <c r="R43" i="6"/>
  <c r="Q43" i="6"/>
  <c r="T43" i="6" s="1"/>
  <c r="P43" i="6"/>
  <c r="S43" i="6" s="1"/>
  <c r="O43" i="6"/>
  <c r="U43" i="6" s="1"/>
  <c r="Y42" i="6"/>
  <c r="X42" i="6"/>
  <c r="W42" i="6"/>
  <c r="V42" i="6"/>
  <c r="R42" i="6"/>
  <c r="U42" i="6" s="1"/>
  <c r="Q42" i="6"/>
  <c r="T42" i="6" s="1"/>
  <c r="P42" i="6"/>
  <c r="S42" i="6" s="1"/>
  <c r="O42" i="6"/>
  <c r="Y41" i="6"/>
  <c r="X41" i="6"/>
  <c r="W41" i="6"/>
  <c r="V41" i="6"/>
  <c r="R41" i="6"/>
  <c r="U41" i="6" s="1"/>
  <c r="Q41" i="6"/>
  <c r="T41" i="6" s="1"/>
  <c r="P41" i="6"/>
  <c r="O41" i="6"/>
  <c r="Y40" i="6"/>
  <c r="X40" i="6"/>
  <c r="W40" i="6"/>
  <c r="V40" i="6"/>
  <c r="S40" i="6"/>
  <c r="R40" i="6"/>
  <c r="U40" i="6" s="1"/>
  <c r="Q40" i="6"/>
  <c r="T40" i="6" s="1"/>
  <c r="P40" i="6"/>
  <c r="O40" i="6"/>
  <c r="Y39" i="6"/>
  <c r="X39" i="6"/>
  <c r="W39" i="6"/>
  <c r="V39" i="6"/>
  <c r="T39" i="6"/>
  <c r="R39" i="6"/>
  <c r="U39" i="6" s="1"/>
  <c r="Q39" i="6"/>
  <c r="P39" i="6"/>
  <c r="S39" i="6" s="1"/>
  <c r="O39" i="6"/>
  <c r="Y38" i="6"/>
  <c r="X38" i="6"/>
  <c r="W38" i="6"/>
  <c r="V38" i="6"/>
  <c r="U38" i="6"/>
  <c r="S38" i="6"/>
  <c r="R38" i="6"/>
  <c r="Q38" i="6"/>
  <c r="T38" i="6" s="1"/>
  <c r="P38" i="6"/>
  <c r="O38" i="6"/>
  <c r="Y37" i="6"/>
  <c r="X37" i="6"/>
  <c r="W37" i="6"/>
  <c r="V37" i="6"/>
  <c r="T37" i="6"/>
  <c r="S37" i="6"/>
  <c r="R37" i="6"/>
  <c r="U37" i="6" s="1"/>
  <c r="Q37" i="6"/>
  <c r="P37" i="6"/>
  <c r="O37" i="6"/>
  <c r="Y36" i="6"/>
  <c r="X36" i="6"/>
  <c r="W36" i="6"/>
  <c r="V36" i="6"/>
  <c r="U36" i="6"/>
  <c r="T36" i="6"/>
  <c r="S36" i="6"/>
  <c r="R36" i="6"/>
  <c r="Q36" i="6"/>
  <c r="P36" i="6"/>
  <c r="O36" i="6"/>
  <c r="Y35" i="6"/>
  <c r="X35" i="6"/>
  <c r="W35" i="6"/>
  <c r="V35" i="6"/>
  <c r="U35" i="6"/>
  <c r="T35" i="6"/>
  <c r="R35" i="6"/>
  <c r="Q35" i="6"/>
  <c r="P35" i="6"/>
  <c r="O35" i="6"/>
  <c r="S35" i="6" s="1"/>
  <c r="Y34" i="6"/>
  <c r="X34" i="6"/>
  <c r="W34" i="6"/>
  <c r="V34" i="6"/>
  <c r="U34" i="6"/>
  <c r="R34" i="6"/>
  <c r="Q34" i="6"/>
  <c r="P34" i="6"/>
  <c r="S34" i="6" s="1"/>
  <c r="O34" i="6"/>
  <c r="T34" i="6" s="1"/>
  <c r="Y33" i="6"/>
  <c r="X33" i="6"/>
  <c r="W33" i="6"/>
  <c r="V33" i="6"/>
  <c r="R33" i="6"/>
  <c r="Q33" i="6"/>
  <c r="T33" i="6" s="1"/>
  <c r="P33" i="6"/>
  <c r="S33" i="6" s="1"/>
  <c r="O33" i="6"/>
  <c r="U33" i="6" s="1"/>
  <c r="Y32" i="6"/>
  <c r="X32" i="6"/>
  <c r="W32" i="6"/>
  <c r="V32" i="6"/>
  <c r="R32" i="6"/>
  <c r="U32" i="6" s="1"/>
  <c r="Q32" i="6"/>
  <c r="T32" i="6" s="1"/>
  <c r="P32" i="6"/>
  <c r="S32" i="6" s="1"/>
  <c r="O32" i="6"/>
  <c r="Y31" i="6"/>
  <c r="X31" i="6"/>
  <c r="W31" i="6"/>
  <c r="V31" i="6"/>
  <c r="R31" i="6"/>
  <c r="Q31" i="6"/>
  <c r="P31" i="6"/>
  <c r="O31" i="6"/>
  <c r="Y30" i="6"/>
  <c r="X30" i="6"/>
  <c r="W30" i="6"/>
  <c r="V30" i="6"/>
  <c r="S30" i="6"/>
  <c r="R30" i="6"/>
  <c r="Q30" i="6"/>
  <c r="P30" i="6"/>
  <c r="O30" i="6"/>
  <c r="Y29" i="6"/>
  <c r="X29" i="6"/>
  <c r="W29" i="6"/>
  <c r="V29" i="6"/>
  <c r="T29" i="6"/>
  <c r="R29" i="6"/>
  <c r="U29" i="6" s="1"/>
  <c r="Q29" i="6"/>
  <c r="P29" i="6"/>
  <c r="S29" i="6" s="1"/>
  <c r="O29" i="6"/>
  <c r="Y28" i="6"/>
  <c r="X28" i="6"/>
  <c r="W28" i="6"/>
  <c r="V28" i="6"/>
  <c r="S28" i="6"/>
  <c r="R28" i="6"/>
  <c r="U28" i="6" s="1"/>
  <c r="Q28" i="6"/>
  <c r="T28" i="6" s="1"/>
  <c r="P28" i="6"/>
  <c r="O28" i="6"/>
  <c r="Y27" i="6"/>
  <c r="X27" i="6"/>
  <c r="W27" i="6"/>
  <c r="V27" i="6"/>
  <c r="T27" i="6"/>
  <c r="S27" i="6"/>
  <c r="R27" i="6"/>
  <c r="U27" i="6" s="1"/>
  <c r="Q27" i="6"/>
  <c r="P27" i="6"/>
  <c r="O27" i="6"/>
  <c r="Y26" i="6"/>
  <c r="X26" i="6"/>
  <c r="W26" i="6"/>
  <c r="V26" i="6"/>
  <c r="U26" i="6"/>
  <c r="T26" i="6"/>
  <c r="S26" i="6"/>
  <c r="R26" i="6"/>
  <c r="Q26" i="6"/>
  <c r="P26" i="6"/>
  <c r="O26" i="6"/>
  <c r="Y25" i="6"/>
  <c r="X25" i="6"/>
  <c r="W25" i="6"/>
  <c r="V25" i="6"/>
  <c r="U25" i="6"/>
  <c r="T25" i="6"/>
  <c r="R25" i="6"/>
  <c r="Q25" i="6"/>
  <c r="P25" i="6"/>
  <c r="O25" i="6"/>
  <c r="S25" i="6" s="1"/>
  <c r="Y24" i="6"/>
  <c r="X24" i="6"/>
  <c r="W24" i="6"/>
  <c r="V24" i="6"/>
  <c r="U24" i="6"/>
  <c r="R24" i="6"/>
  <c r="Q24" i="6"/>
  <c r="P24" i="6"/>
  <c r="O24" i="6"/>
  <c r="T24" i="6" s="1"/>
  <c r="Y23" i="6"/>
  <c r="X23" i="6"/>
  <c r="W23" i="6"/>
  <c r="V23" i="6"/>
  <c r="R23" i="6"/>
  <c r="Q23" i="6"/>
  <c r="T23" i="6" s="1"/>
  <c r="P23" i="6"/>
  <c r="S23" i="6" s="1"/>
  <c r="O23" i="6"/>
  <c r="U23" i="6" s="1"/>
  <c r="Y22" i="6"/>
  <c r="X22" i="6"/>
  <c r="W22" i="6"/>
  <c r="V22" i="6"/>
  <c r="R22" i="6"/>
  <c r="U22" i="6" s="1"/>
  <c r="Q22" i="6"/>
  <c r="T22" i="6" s="1"/>
  <c r="P22" i="6"/>
  <c r="S22" i="6" s="1"/>
  <c r="O22" i="6"/>
  <c r="Y21" i="6"/>
  <c r="X21" i="6"/>
  <c r="W21" i="6"/>
  <c r="V21" i="6"/>
  <c r="R21" i="6"/>
  <c r="Q21" i="6"/>
  <c r="P21" i="6"/>
  <c r="S21" i="6" s="1"/>
  <c r="O21" i="6"/>
  <c r="Y20" i="6"/>
  <c r="X20" i="6"/>
  <c r="W20" i="6"/>
  <c r="V20" i="6"/>
  <c r="R20" i="6"/>
  <c r="Q20" i="6"/>
  <c r="P20" i="6"/>
  <c r="S20" i="6" s="1"/>
  <c r="O20" i="6"/>
  <c r="Y19" i="6"/>
  <c r="X19" i="6"/>
  <c r="W19" i="6"/>
  <c r="V19" i="6"/>
  <c r="T19" i="6"/>
  <c r="R19" i="6"/>
  <c r="U19" i="6" s="1"/>
  <c r="Q19" i="6"/>
  <c r="P19" i="6"/>
  <c r="S19" i="6" s="1"/>
  <c r="O19" i="6"/>
  <c r="Y18" i="6"/>
  <c r="X18" i="6"/>
  <c r="W18" i="6"/>
  <c r="V18" i="6"/>
  <c r="U18" i="6"/>
  <c r="S18" i="6"/>
  <c r="R18" i="6"/>
  <c r="Q18" i="6"/>
  <c r="T18" i="6" s="1"/>
  <c r="P18" i="6"/>
  <c r="O18" i="6"/>
  <c r="Y17" i="6"/>
  <c r="X17" i="6"/>
  <c r="W17" i="6"/>
  <c r="V17" i="6"/>
  <c r="T17" i="6"/>
  <c r="S17" i="6"/>
  <c r="R17" i="6"/>
  <c r="U17" i="6" s="1"/>
  <c r="Q17" i="6"/>
  <c r="P17" i="6"/>
  <c r="O17" i="6"/>
  <c r="Y16" i="6"/>
  <c r="X16" i="6"/>
  <c r="W16" i="6"/>
  <c r="V16" i="6"/>
  <c r="U16" i="6"/>
  <c r="T16" i="6"/>
  <c r="S16" i="6"/>
  <c r="R16" i="6"/>
  <c r="Q16" i="6"/>
  <c r="P16" i="6"/>
  <c r="O16" i="6"/>
  <c r="Y15" i="6"/>
  <c r="X15" i="6"/>
  <c r="W15" i="6"/>
  <c r="V15" i="6"/>
  <c r="U15" i="6"/>
  <c r="T15" i="6"/>
  <c r="R15" i="6"/>
  <c r="Q15" i="6"/>
  <c r="P15" i="6"/>
  <c r="O15" i="6"/>
  <c r="S15" i="6" s="1"/>
  <c r="Y14" i="6"/>
  <c r="X14" i="6"/>
  <c r="W14" i="6"/>
  <c r="V14" i="6"/>
  <c r="R14" i="6"/>
  <c r="Q14" i="6"/>
  <c r="P14" i="6"/>
  <c r="O14" i="6"/>
  <c r="T14" i="6" s="1"/>
  <c r="Y13" i="6"/>
  <c r="X13" i="6"/>
  <c r="W13" i="6"/>
  <c r="V13" i="6"/>
  <c r="R13" i="6"/>
  <c r="Q13" i="6"/>
  <c r="T13" i="6" s="1"/>
  <c r="P13" i="6"/>
  <c r="S13" i="6" s="1"/>
  <c r="O13" i="6"/>
  <c r="U13" i="6" s="1"/>
  <c r="Y12" i="6"/>
  <c r="X12" i="6"/>
  <c r="W12" i="6"/>
  <c r="V12" i="6"/>
  <c r="R12" i="6"/>
  <c r="U12" i="6" s="1"/>
  <c r="Q12" i="6"/>
  <c r="T12" i="6" s="1"/>
  <c r="P12" i="6"/>
  <c r="S12" i="6" s="1"/>
  <c r="O12" i="6"/>
  <c r="Y11" i="6"/>
  <c r="X11" i="6"/>
  <c r="W11" i="6"/>
  <c r="V11" i="6"/>
  <c r="R11" i="6"/>
  <c r="U11" i="6" s="1"/>
  <c r="Q11" i="6"/>
  <c r="T11" i="6" s="1"/>
  <c r="P11" i="6"/>
  <c r="O11" i="6"/>
  <c r="Y10" i="6"/>
  <c r="X10" i="6"/>
  <c r="W10" i="6"/>
  <c r="V10" i="6"/>
  <c r="R10" i="6"/>
  <c r="U10" i="6" s="1"/>
  <c r="Q10" i="6"/>
  <c r="T10" i="6" s="1"/>
  <c r="P10" i="6"/>
  <c r="S10" i="6" s="1"/>
  <c r="O10" i="6"/>
  <c r="Y9" i="6"/>
  <c r="X9" i="6"/>
  <c r="W9" i="6"/>
  <c r="V9" i="6"/>
  <c r="R9" i="6"/>
  <c r="U9" i="6" s="1"/>
  <c r="Q9" i="6"/>
  <c r="T9" i="6" s="1"/>
  <c r="P9" i="6"/>
  <c r="S9" i="6" s="1"/>
  <c r="O9" i="6"/>
  <c r="Y8" i="6"/>
  <c r="X8" i="6"/>
  <c r="W8" i="6"/>
  <c r="V8" i="6"/>
  <c r="S8" i="6"/>
  <c r="R8" i="6"/>
  <c r="U8" i="6" s="1"/>
  <c r="Q8" i="6"/>
  <c r="T8" i="6" s="1"/>
  <c r="P8" i="6"/>
  <c r="O8" i="6"/>
  <c r="Y7" i="6"/>
  <c r="X7" i="6"/>
  <c r="W7" i="6"/>
  <c r="V7" i="6"/>
  <c r="T7" i="6"/>
  <c r="S7" i="6"/>
  <c r="R7" i="6"/>
  <c r="U7" i="6" s="1"/>
  <c r="Q7" i="6"/>
  <c r="P7" i="6"/>
  <c r="O7" i="6"/>
  <c r="Y6" i="6"/>
  <c r="X6" i="6"/>
  <c r="W6" i="6"/>
  <c r="V6" i="6"/>
  <c r="U6" i="6"/>
  <c r="T6" i="6"/>
  <c r="S6" i="6"/>
  <c r="R6" i="6"/>
  <c r="Q6" i="6"/>
  <c r="P6" i="6"/>
  <c r="O6" i="6"/>
  <c r="Y5" i="6"/>
  <c r="X5" i="6"/>
  <c r="W5" i="6"/>
  <c r="V5" i="6"/>
  <c r="U5" i="6"/>
  <c r="T5" i="6"/>
  <c r="R5" i="6"/>
  <c r="Q5" i="6"/>
  <c r="P5" i="6"/>
  <c r="O5" i="6"/>
  <c r="S5" i="6" s="1"/>
  <c r="Y4" i="6"/>
  <c r="X4" i="6"/>
  <c r="W4" i="6"/>
  <c r="V4" i="6"/>
  <c r="R4" i="6"/>
  <c r="Q4" i="6"/>
  <c r="P4" i="6"/>
  <c r="S4" i="6" s="1"/>
  <c r="O4" i="6"/>
  <c r="T4" i="6" s="1"/>
  <c r="Y3" i="6"/>
  <c r="X3" i="6"/>
  <c r="W3" i="6"/>
  <c r="V3" i="6"/>
  <c r="R3" i="6"/>
  <c r="Q3" i="6"/>
  <c r="T3" i="6" s="1"/>
  <c r="P3" i="6"/>
  <c r="S3" i="6" s="1"/>
  <c r="O3" i="6"/>
  <c r="U3" i="6" s="1"/>
  <c r="Y2" i="6"/>
  <c r="X2" i="6"/>
  <c r="W2" i="6"/>
  <c r="V2" i="6"/>
  <c r="R2" i="6"/>
  <c r="U2" i="6" s="1"/>
  <c r="Q2" i="6"/>
  <c r="T2" i="6" s="1"/>
  <c r="P2" i="6"/>
  <c r="S2" i="6" s="1"/>
  <c r="O2" i="6"/>
  <c r="AF10" i="5"/>
  <c r="AE10" i="5"/>
  <c r="AD10" i="5"/>
  <c r="AC10" i="5"/>
  <c r="AB10" i="5"/>
  <c r="AA10" i="5"/>
  <c r="Z10" i="5"/>
  <c r="W10" i="5"/>
  <c r="V10" i="5"/>
  <c r="Y10" i="5" s="1"/>
  <c r="U10" i="5"/>
  <c r="X10" i="5" s="1"/>
  <c r="T10" i="5"/>
  <c r="S10" i="5"/>
  <c r="AF9" i="5"/>
  <c r="AE9" i="5"/>
  <c r="AD9" i="5"/>
  <c r="AC9" i="5"/>
  <c r="AB9" i="5"/>
  <c r="AA9" i="5"/>
  <c r="Z9" i="5"/>
  <c r="V9" i="5"/>
  <c r="U9" i="5"/>
  <c r="T9" i="5"/>
  <c r="W9" i="5" s="1"/>
  <c r="S9" i="5"/>
  <c r="X9" i="5" s="1"/>
  <c r="AF8" i="5"/>
  <c r="AE8" i="5"/>
  <c r="AD8" i="5"/>
  <c r="AC8" i="5"/>
  <c r="AB8" i="5"/>
  <c r="AA8" i="5"/>
  <c r="Z8" i="5"/>
  <c r="W8" i="5"/>
  <c r="V8" i="5"/>
  <c r="Y8" i="5" s="1"/>
  <c r="U8" i="5"/>
  <c r="T8" i="5"/>
  <c r="S8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AF6" i="5"/>
  <c r="AE6" i="5"/>
  <c r="AD6" i="5"/>
  <c r="AC6" i="5"/>
  <c r="AB6" i="5"/>
  <c r="AA6" i="5"/>
  <c r="Z6" i="5"/>
  <c r="V6" i="5"/>
  <c r="Y6" i="5" s="1"/>
  <c r="U6" i="5"/>
  <c r="X6" i="5" s="1"/>
  <c r="T6" i="5"/>
  <c r="W6" i="5" s="1"/>
  <c r="S6" i="5"/>
  <c r="AF5" i="5"/>
  <c r="AE5" i="5"/>
  <c r="AD5" i="5"/>
  <c r="AC5" i="5"/>
  <c r="AB5" i="5"/>
  <c r="AA5" i="5"/>
  <c r="Z5" i="5"/>
  <c r="W5" i="5"/>
  <c r="V5" i="5"/>
  <c r="Y5" i="5" s="1"/>
  <c r="U5" i="5"/>
  <c r="X5" i="5" s="1"/>
  <c r="T5" i="5"/>
  <c r="S5" i="5"/>
  <c r="AF4" i="5"/>
  <c r="AE4" i="5"/>
  <c r="AD4" i="5"/>
  <c r="AC4" i="5"/>
  <c r="AB4" i="5"/>
  <c r="AA4" i="5"/>
  <c r="Z4" i="5"/>
  <c r="Y4" i="5"/>
  <c r="V4" i="5"/>
  <c r="U4" i="5"/>
  <c r="T4" i="5"/>
  <c r="S4" i="5"/>
  <c r="X4" i="5" s="1"/>
  <c r="AF3" i="5"/>
  <c r="AE3" i="5"/>
  <c r="AD3" i="5"/>
  <c r="AC3" i="5"/>
  <c r="AB3" i="5"/>
  <c r="AA3" i="5"/>
  <c r="Z3" i="5"/>
  <c r="W3" i="5"/>
  <c r="V3" i="5"/>
  <c r="Y3" i="5" s="1"/>
  <c r="U3" i="5"/>
  <c r="X3" i="5" s="1"/>
  <c r="T3" i="5"/>
  <c r="S3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D71" i="4"/>
  <c r="C71" i="4"/>
  <c r="B71" i="4"/>
  <c r="A71" i="4"/>
  <c r="D70" i="4"/>
  <c r="C70" i="4"/>
  <c r="B70" i="4"/>
  <c r="A70" i="4"/>
  <c r="D69" i="4"/>
  <c r="C69" i="4"/>
  <c r="B69" i="4"/>
  <c r="A69" i="4"/>
  <c r="H62" i="4"/>
  <c r="G62" i="4"/>
  <c r="F62" i="4"/>
  <c r="E62" i="4"/>
  <c r="D62" i="4"/>
  <c r="C62" i="4"/>
  <c r="H61" i="4"/>
  <c r="G61" i="4"/>
  <c r="F61" i="4"/>
  <c r="E61" i="4"/>
  <c r="D61" i="4"/>
  <c r="C61" i="4"/>
  <c r="H60" i="4"/>
  <c r="G60" i="4"/>
  <c r="F60" i="4"/>
  <c r="E60" i="4"/>
  <c r="D60" i="4"/>
  <c r="C60" i="4"/>
  <c r="H59" i="4"/>
  <c r="G59" i="4"/>
  <c r="F59" i="4"/>
  <c r="E59" i="4"/>
  <c r="D59" i="4"/>
  <c r="C59" i="4"/>
  <c r="H58" i="4"/>
  <c r="G58" i="4"/>
  <c r="F58" i="4"/>
  <c r="E58" i="4"/>
  <c r="D58" i="4"/>
  <c r="C58" i="4"/>
  <c r="H57" i="4"/>
  <c r="G57" i="4"/>
  <c r="F57" i="4"/>
  <c r="E57" i="4"/>
  <c r="D57" i="4"/>
  <c r="C57" i="4"/>
  <c r="H56" i="4"/>
  <c r="G56" i="4"/>
  <c r="F56" i="4"/>
  <c r="E56" i="4"/>
  <c r="D56" i="4"/>
  <c r="C56" i="4"/>
  <c r="H55" i="4"/>
  <c r="G55" i="4"/>
  <c r="F55" i="4"/>
  <c r="E55" i="4"/>
  <c r="D55" i="4"/>
  <c r="C55" i="4"/>
  <c r="H54" i="4"/>
  <c r="G54" i="4"/>
  <c r="F54" i="4"/>
  <c r="E54" i="4"/>
  <c r="D54" i="4"/>
  <c r="C54" i="4"/>
  <c r="H53" i="4"/>
  <c r="G53" i="4"/>
  <c r="F53" i="4"/>
  <c r="E53" i="4"/>
  <c r="D53" i="4"/>
  <c r="C53" i="4"/>
  <c r="H52" i="4"/>
  <c r="G52" i="4"/>
  <c r="F52" i="4"/>
  <c r="E52" i="4"/>
  <c r="D52" i="4"/>
  <c r="C52" i="4"/>
  <c r="H51" i="4"/>
  <c r="G51" i="4"/>
  <c r="F51" i="4"/>
  <c r="E51" i="4"/>
  <c r="D51" i="4"/>
  <c r="C51" i="4"/>
  <c r="H50" i="4"/>
  <c r="G50" i="4"/>
  <c r="F50" i="4"/>
  <c r="E50" i="4"/>
  <c r="D50" i="4"/>
  <c r="C50" i="4"/>
  <c r="D37" i="4"/>
  <c r="E37" i="4" s="1"/>
  <c r="F37" i="4" s="1"/>
  <c r="C37" i="4"/>
  <c r="B37" i="4"/>
  <c r="D36" i="4"/>
  <c r="E36" i="4" s="1"/>
  <c r="C36" i="4"/>
  <c r="B36" i="4"/>
  <c r="E35" i="4"/>
  <c r="C35" i="4"/>
  <c r="D35" i="4" s="1"/>
  <c r="B35" i="4"/>
  <c r="H34" i="4"/>
  <c r="G34" i="4"/>
  <c r="F34" i="4"/>
  <c r="D34" i="4"/>
  <c r="C34" i="4"/>
  <c r="K22" i="15" l="1"/>
  <c r="J22" i="15"/>
  <c r="L22" i="15"/>
  <c r="L12" i="15"/>
  <c r="K12" i="15"/>
  <c r="J12" i="15"/>
  <c r="K2" i="15"/>
  <c r="J2" i="15"/>
  <c r="L2" i="15"/>
  <c r="G36" i="4"/>
  <c r="F36" i="4"/>
  <c r="H36" i="4"/>
  <c r="J6" i="15"/>
  <c r="L6" i="15"/>
  <c r="K6" i="15"/>
  <c r="J13" i="15"/>
  <c r="L13" i="15"/>
  <c r="K13" i="15"/>
  <c r="L21" i="15"/>
  <c r="K21" i="15"/>
  <c r="L24" i="15"/>
  <c r="K24" i="15"/>
  <c r="J24" i="15"/>
  <c r="L27" i="15"/>
  <c r="K27" i="15"/>
  <c r="J27" i="15"/>
  <c r="G37" i="4"/>
  <c r="W4" i="5"/>
  <c r="S50" i="6"/>
  <c r="J16" i="15"/>
  <c r="L16" i="15"/>
  <c r="K16" i="15"/>
  <c r="J21" i="15"/>
  <c r="G35" i="4"/>
  <c r="H35" i="4"/>
  <c r="F35" i="4"/>
  <c r="H37" i="4"/>
  <c r="X8" i="5"/>
  <c r="S11" i="6"/>
  <c r="S44" i="6"/>
  <c r="T50" i="6"/>
  <c r="K8" i="15"/>
  <c r="J8" i="15"/>
  <c r="K19" i="15"/>
  <c r="L29" i="15"/>
  <c r="K29" i="15"/>
  <c r="J29" i="15"/>
  <c r="K18" i="15"/>
  <c r="J18" i="15"/>
  <c r="K23" i="15"/>
  <c r="J23" i="15"/>
  <c r="L23" i="15"/>
  <c r="N2" i="7"/>
  <c r="J26" i="15"/>
  <c r="L26" i="15"/>
  <c r="K26" i="15"/>
  <c r="S91" i="6"/>
  <c r="O2" i="7"/>
  <c r="L18" i="15"/>
  <c r="S14" i="6"/>
  <c r="U21" i="6"/>
  <c r="S100" i="6"/>
  <c r="L4" i="15"/>
  <c r="K4" i="15"/>
  <c r="J4" i="15"/>
  <c r="L28" i="15"/>
  <c r="K28" i="15"/>
  <c r="J28" i="15"/>
  <c r="U4" i="6"/>
  <c r="U20" i="6"/>
  <c r="T31" i="6"/>
  <c r="S71" i="6"/>
  <c r="T81" i="6"/>
  <c r="S90" i="6"/>
  <c r="U91" i="6"/>
  <c r="T100" i="6"/>
  <c r="L11" i="15"/>
  <c r="K11" i="15"/>
  <c r="L14" i="15"/>
  <c r="J14" i="15"/>
  <c r="K14" i="15"/>
  <c r="L17" i="15"/>
  <c r="K17" i="15"/>
  <c r="J17" i="15"/>
  <c r="T91" i="6"/>
  <c r="P2" i="7"/>
  <c r="L7" i="15"/>
  <c r="K7" i="15"/>
  <c r="J7" i="15"/>
  <c r="S24" i="6"/>
  <c r="T30" i="6"/>
  <c r="U31" i="6"/>
  <c r="S41" i="6"/>
  <c r="S61" i="6"/>
  <c r="T71" i="6"/>
  <c r="S80" i="6"/>
  <c r="U81" i="6"/>
  <c r="T90" i="6"/>
  <c r="U100" i="6"/>
  <c r="J11" i="15"/>
  <c r="L30" i="15"/>
  <c r="K30" i="15"/>
  <c r="J30" i="15"/>
  <c r="T21" i="6"/>
  <c r="Y9" i="5"/>
  <c r="T20" i="6"/>
  <c r="S31" i="6"/>
  <c r="S81" i="6"/>
  <c r="U14" i="6"/>
  <c r="U30" i="6"/>
  <c r="U71" i="6"/>
  <c r="T80" i="6"/>
  <c r="U90" i="6"/>
  <c r="I3" i="15"/>
  <c r="J10" i="15"/>
  <c r="L5" i="15"/>
  <c r="L15" i="15"/>
  <c r="L25" i="15"/>
  <c r="L35" i="15"/>
  <c r="K36" i="15"/>
  <c r="J37" i="15"/>
  <c r="L32" i="15"/>
  <c r="J5" i="15"/>
  <c r="K34" i="15"/>
  <c r="L36" i="15"/>
  <c r="K37" i="15"/>
  <c r="J38" i="15"/>
  <c r="K38" i="15"/>
  <c r="J39" i="15"/>
  <c r="K39" i="15"/>
  <c r="K31" i="15"/>
  <c r="J32" i="15"/>
  <c r="J15" i="15"/>
  <c r="J25" i="15"/>
  <c r="J35" i="15"/>
  <c r="K3" i="15" l="1"/>
  <c r="J3" i="15"/>
  <c r="L3" i="15"/>
  <c r="F42" i="15"/>
  <c r="F40" i="15"/>
  <c r="F30" i="15"/>
  <c r="F20" i="15"/>
  <c r="F10" i="15"/>
  <c r="F19" i="15"/>
  <c r="F9" i="15"/>
  <c r="F18" i="15"/>
  <c r="F39" i="15"/>
  <c r="F38" i="15"/>
  <c r="F37" i="15"/>
  <c r="F27" i="15"/>
  <c r="F17" i="15"/>
  <c r="F7" i="15"/>
  <c r="B41" i="4"/>
  <c r="F36" i="15"/>
  <c r="F26" i="15"/>
  <c r="F16" i="15"/>
  <c r="F6" i="15"/>
  <c r="F41" i="15"/>
  <c r="F35" i="15"/>
  <c r="F34" i="15"/>
  <c r="F33" i="15"/>
  <c r="F23" i="15"/>
  <c r="F13" i="15"/>
  <c r="F3" i="15"/>
  <c r="F32" i="15"/>
  <c r="F22" i="15"/>
  <c r="F12" i="15"/>
  <c r="F2" i="15"/>
  <c r="F29" i="15"/>
  <c r="F31" i="15"/>
  <c r="F21" i="15"/>
  <c r="F11" i="15"/>
  <c r="E71" i="4"/>
  <c r="E69" i="4"/>
  <c r="F28" i="15"/>
  <c r="F8" i="15"/>
  <c r="F24" i="15"/>
  <c r="E70" i="4"/>
  <c r="F14" i="15"/>
  <c r="F4" i="15"/>
  <c r="F25" i="15"/>
  <c r="F15" i="15"/>
  <c r="F5" i="15"/>
</calcChain>
</file>

<file path=xl/sharedStrings.xml><?xml version="1.0" encoding="utf-8"?>
<sst xmlns="http://schemas.openxmlformats.org/spreadsheetml/2006/main" count="879" uniqueCount="614">
  <si>
    <t>CIP Case - Capture Price Analysis</t>
  </si>
  <si>
    <t>German onshore wind capture prices, 2015-2023 (offshore wind and solar PV included for comparison).</t>
  </si>
  <si>
    <t>Primary question</t>
  </si>
  <si>
    <t>Compute capture prices for German onshore wind since 2015, €/MWh, using onshore wind load factor as the weight, and compare with baseload on a monthly level.</t>
  </si>
  <si>
    <t>Sheet map</t>
  </si>
  <si>
    <t xml:space="preserve">  Annual_Capture</t>
  </si>
  <si>
    <t>Year-level capture prices, capture rates, and context (gen TWh, mean LF, installed capacity, TTF, EUA, share of negative-price hours). Building-block sums are raw values; capture price, capture rate, and mean LF are Excel formulas. Formula cells are shaded light blue.</t>
  </si>
  <si>
    <t xml:space="preserve">  Monthly_Capture</t>
  </si>
  <si>
    <t>Same metrics at month granularity for the primary monthly baseload vs capture plot.</t>
  </si>
  <si>
    <t xml:space="preserve">  Sens_ExNegative</t>
  </si>
  <si>
    <t>Annual capture prices and rates re-computed excluding hours with negative day-ahead price.</t>
  </si>
  <si>
    <t xml:space="preserve">  Sens_Weighting</t>
  </si>
  <si>
    <t>Within a single year of constant installed capacity, LF-weighting and production-weighting of the capture price are arithmetically equivalent. This sheet shows both side by side for all three focus technologies as a proof of equivalence (diff ≈ 0).</t>
  </si>
  <si>
    <t xml:space="preserve">  Methodology</t>
  </si>
  <si>
    <t>Aggregation choices, weight selection, timestamp handling and edge cases.</t>
  </si>
  <si>
    <t xml:space="preserve">  Public_Benchmarks</t>
  </si>
  <si>
    <t>Cross-check of our annual figures against public sources (EPEX, Fraunhofer Energy-Charts, Deutsche WindGuard).</t>
  </si>
  <si>
    <t>Formulas (how the building blocks combine)</t>
  </si>
  <si>
    <t xml:space="preserve">  baseload (€/MWh)</t>
  </si>
  <si>
    <t>sum(price) / n_hours</t>
  </si>
  <si>
    <t xml:space="preserve">  capture price (€/MWh)</t>
  </si>
  <si>
    <t>sum(price × LF) / sum(LF)</t>
  </si>
  <si>
    <t xml:space="preserve">  capture rate (%)</t>
  </si>
  <si>
    <t>capture price / baseload</t>
  </si>
  <si>
    <t xml:space="preserve">  mean load factor (%)</t>
  </si>
  <si>
    <t>sum(LF) / n_hours</t>
  </si>
  <si>
    <t xml:space="preserve">  Monthly_Panel</t>
  </si>
  <si>
    <t>Clean monthly panel: baseload, onshore-wind capture, capture rate, TTF, EUA, implied CCGT SRMC, monthly generation.</t>
  </si>
  <si>
    <t xml:space="preserve">  Correlations</t>
  </si>
  <si>
    <t>Pearson correlation matrix across monthly power, capture, TTF, EUA and implied SRMC.</t>
  </si>
  <si>
    <t xml:space="preserve">  Regressions</t>
  </si>
  <si>
    <t>OLS regressions: baseload ~ TTF (+ EUA), capture ~ TTF + EUA, capture rate ~ TTF + EUA, regime split.</t>
  </si>
  <si>
    <t xml:space="preserve">  Negative prices</t>
  </si>
  <si>
    <t>Included in the headline series as real merchant revenue; sensitivity without negatives provided on Sens_ExNegative.</t>
  </si>
  <si>
    <t xml:space="preserve">  2023</t>
  </si>
  <si>
    <t>Partial year - UTC data runs to 2023-03-01 22:00. Annual 2023 figures are calendar-weighted means over 60 days only.</t>
  </si>
  <si>
    <t xml:space="preserve">  2015 price series</t>
  </si>
  <si>
    <t>Jan 1-4 2015 has 95 contiguous missing day-ahead price hours in the source; those hours are automatically excluded from the 2015 aggregate (they have NaN price × anything = NaN, dropped by the sum).</t>
  </si>
  <si>
    <t xml:space="preserve">  Charts</t>
  </si>
  <si>
    <t>Chart portfolio with 10 visualisations.</t>
  </si>
  <si>
    <t xml:space="preserve">  Assumptions_Sources</t>
  </si>
  <si>
    <t>Every hardcoded value, modelling choice and data source listed with justification and reference.</t>
  </si>
  <si>
    <t xml:space="preserve">  Breakeven_Analysis</t>
  </si>
  <si>
    <t>Breakeven 1 (PPA floor) and Breakeven 2 (TTF gas threshold). All inputs editable in blue/yellow cells.</t>
  </si>
  <si>
    <t>Chart portfolio - German onshore wind capture analysis</t>
  </si>
  <si>
    <t>1. Capture rate trajectory by technology</t>
  </si>
  <si>
    <t>2. Annual baseload vs onshore wind capture price</t>
  </si>
  <si>
    <t>3. Monthly baseload vs TTF - the regime shift in fuel pass-through</t>
  </si>
  <si>
    <t>4. Merchant capture vs TTF - dual-regime piecewise model</t>
  </si>
  <si>
    <t>5. Capture rate vs installed onshore wind capacity</t>
  </si>
  <si>
    <t>6. Monthly capture rate vs TTF</t>
  </si>
  <si>
    <t>7. Monthly baseload, capture price, TTF and EUA - full timeline</t>
  </si>
  <si>
    <t>8. Capture rates with negative-price hour share</t>
  </si>
  <si>
    <t>9. Implied market heat rate - rolling 12-month slope</t>
  </si>
  <si>
    <t>4b. Capture price vs LCOE band vs PPA range</t>
  </si>
  <si>
    <t>10. Merchant gas threshold - capture price vs TTF</t>
  </si>
  <si>
    <t>Assumptions, sources and modelling choices</t>
  </si>
  <si>
    <t>Every hardcoded value or modelling choice in this workbook is listed below with a justification and a source. If you disagree with any assumption, change it here and the chain of dependencies will recalc.</t>
  </si>
  <si>
    <t>Data sources</t>
  </si>
  <si>
    <t>Category</t>
  </si>
  <si>
    <t>Item</t>
  </si>
  <si>
    <t>Value</t>
  </si>
  <si>
    <t>Justification / what it means</t>
  </si>
  <si>
    <t>Source / reference</t>
  </si>
  <si>
    <t>Used in</t>
  </si>
  <si>
    <t>Power prices</t>
  </si>
  <si>
    <t>DE/AT/LU day-ahead</t>
  </si>
  <si>
    <t>€/MWh, hourly</t>
  </si>
  <si>
    <t>Hourly day-ahead auction clearing price for the German market zone.</t>
  </si>
  <si>
    <t>ENTSO-E Transparency Platform; cross-check OPSD time-series.</t>
  </si>
  <si>
    <t>Daily, Monthly_Capture</t>
  </si>
  <si>
    <t>Wind production</t>
  </si>
  <si>
    <t>Onshore wind generation</t>
  </si>
  <si>
    <t>MWh, hourly</t>
  </si>
  <si>
    <t>Hourly aggregated onshore wind output for Germany.</t>
  </si>
  <si>
    <t>ENTSO-E / OPSD generation_per_plant time series.</t>
  </si>
  <si>
    <t>Daily</t>
  </si>
  <si>
    <t>Wind LF</t>
  </si>
  <si>
    <t>Onshore wind LF</t>
  </si>
  <si>
    <t>%</t>
  </si>
  <si>
    <t>Hourly load factor = generation / installed capacity. Used for capture-price weighting.</t>
  </si>
  <si>
    <t>Computed: gen / installed_capacity (ENTSO-E + BNetzA capacity register).</t>
  </si>
  <si>
    <t>Gas</t>
  </si>
  <si>
    <t>TTF month-ahead</t>
  </si>
  <si>
    <t>€/MWh</t>
  </si>
  <si>
    <t>Front-month TTF settlement price (close), daily resampled to monthly mean.</t>
  </si>
  <si>
    <t>ICE Endex via S&amp;P Platts / Refinitiv equivalent.</t>
  </si>
  <si>
    <t>Monthly_Panel</t>
  </si>
  <si>
    <t>CO2</t>
  </si>
  <si>
    <t>EUA spot</t>
  </si>
  <si>
    <t>€/t CO2</t>
  </si>
  <si>
    <t>EU ETS Phase 4 EUA daily spot, monthly mean.</t>
  </si>
  <si>
    <t>EEX / ICE Endex EUA reference; cross-check ember-climate.org.</t>
  </si>
  <si>
    <t>Capture-price methodology</t>
  </si>
  <si>
    <t>Formula</t>
  </si>
  <si>
    <t>Capture price</t>
  </si>
  <si>
    <t>Sum(price × LF) over all hours / Sum(LF). Equivalent to production-weighted price within a year of stable capacity.</t>
  </si>
  <si>
    <t>Standard market-design definition; used by Fraunhofer ISE, EPEX, Aurora, BloombergNEF.</t>
  </si>
  <si>
    <t>Methodology</t>
  </si>
  <si>
    <t>Capture rate</t>
  </si>
  <si>
    <t>ratio</t>
  </si>
  <si>
    <t>Capture price / baseload price. Dimensionless; &lt;1 means under-recovery vs flat-block, &gt;1 means over-recovery.</t>
  </si>
  <si>
    <t>Standard measure used by all EU TSO and renewable analyst houses.</t>
  </si>
  <si>
    <t>Convention</t>
  </si>
  <si>
    <t>Treatment of negative-price hours</t>
  </si>
  <si>
    <t>include</t>
  </si>
  <si>
    <t>Negative hours are kept in the calculation (the asset really earns a negative price). Sensitivity in Sens_ExNegative shows the alternative.</t>
  </si>
  <si>
    <t>Industry default; matches Fraunhofer ISE Marktwert series.</t>
  </si>
  <si>
    <t>Sens_ExNegative</t>
  </si>
  <si>
    <t>Weighting choice</t>
  </si>
  <si>
    <t>LF-weighted</t>
  </si>
  <si>
    <t>We use load-factor weights, equivalent to production weights within a constant-capacity year. Sens_Weighting checks vs production-weighted.</t>
  </si>
  <si>
    <t>Tested empirically: &lt;0.5% difference annual-level.</t>
  </si>
  <si>
    <t>Sens_Weighting</t>
  </si>
  <si>
    <t>Regime-split assumption</t>
  </si>
  <si>
    <t>Break date</t>
  </si>
  <si>
    <t>Regime split</t>
  </si>
  <si>
    <t>2021-07-01</t>
  </si>
  <si>
    <t>Visual + macro: TTF crossed €30/MWh, Gazprom started withholding pipeline summer flows. Sensitivity is mild - Aug-Oct 2021 give similar regression fits.</t>
  </si>
  <si>
    <t>Triangulation: TTF time series + IEA Q3-2021 Gas Market Report + Bruegel chronology.</t>
  </si>
  <si>
    <t>Regressions, Charts (3, 6)</t>
  </si>
  <si>
    <t>Justification</t>
  </si>
  <si>
    <t>Why a single break, not rolling</t>
  </si>
  <si>
    <t>for clarity</t>
  </si>
  <si>
    <t>Single-break regression is easier to communicate; we cross-check with chart 9 rolling-12m β so the audience sees both views.</t>
  </si>
  <si>
    <t>Rolling-window analysis is technically more correct; both are presented.</t>
  </si>
  <si>
    <t>Charts (9)</t>
  </si>
  <si>
    <t>LCOE benchmark band</t>
  </si>
  <si>
    <t>Low end</t>
  </si>
  <si>
    <t>LCOE low</t>
  </si>
  <si>
    <t>€45/MWh</t>
  </si>
  <si>
    <t>Modern German onshore wind, good site (Schleswig-Holstein/Lower Saxony), 2024 build cost basis, 7% WACC, 25y life. At lower end of credible range.</t>
  </si>
  <si>
    <t>Fraunhofer ISE 'Stromgestehungskosten Erneuerbare Energien' 2024; Lazard LCOE v17 (2024) US onshore wind unsubsidised €40-65 equivalent; IEA WEO-2023 Annex.</t>
  </si>
  <si>
    <t>Charts (4)</t>
  </si>
  <si>
    <t>High end</t>
  </si>
  <si>
    <t>LCOE high</t>
  </si>
  <si>
    <t>€65/MWh</t>
  </si>
  <si>
    <t>Average German site, repowering or new build, post-2022 cost inflation reflected. Within Fraunhofer's central range.</t>
  </si>
  <si>
    <t>Fraunhofer ISE 2024 central case ~€60/MWh; Danish Energy Agency Technology Catalogue (June 2024 update) onshore wind ~€40-55/MWh - adjusted upward for German wind resource (lower CF) and grid-connection costs.</t>
  </si>
  <si>
    <t>Note</t>
  </si>
  <si>
    <t>German vs Danish data</t>
  </si>
  <si>
    <t>calibrated to DE</t>
  </si>
  <si>
    <t>Danish DEA figures are excellent for methodology but Denmark has higher CFs (~38-42%) than Germany (~22-26% national avg). German LCOE is structurally ~€10-15/MWh above Danish equivalent assets.</t>
  </si>
  <si>
    <t>Cross-check: DEA Tech Catalogue tab 'Onshore wind' vs Fraunhofer ISE German-specific.</t>
  </si>
  <si>
    <t>CCGT short-run marginal cost (used for chart 9 framing)</t>
  </si>
  <si>
    <t>Efficiency</t>
  </si>
  <si>
    <t>CCGT thermal efficiency</t>
  </si>
  <si>
    <t>50%</t>
  </si>
  <si>
    <t>Modern German CCGT fleet weighted average. Best-in-class plants reach 60%+; older plants 45%. 50% is a reasonable mid-point.</t>
  </si>
  <si>
    <t>BNetzA Kraftwerksliste; AGEB efficiency data; matches IEA assumption.</t>
  </si>
  <si>
    <t>Emission factor</t>
  </si>
  <si>
    <t>Natural gas EF</t>
  </si>
  <si>
    <t>0.35 tCO2/MWh</t>
  </si>
  <si>
    <t>Per MWh of electricity output (not gas input). 0.20 tCO2/MWh thermal × 1/0.50 efficiency = 0.40 t/MWh; modern fleet average closer to 0.35.</t>
  </si>
  <si>
    <t>IPCC AR6, IEA Power Sector CO2 Emission Intensity, UBA German emission factors 2023.</t>
  </si>
  <si>
    <t>CCGT SRMC</t>
  </si>
  <si>
    <t>TTF/η + EUA × EF</t>
  </si>
  <si>
    <t>Short-run marginal cost: variable fuel + carbon. Capacity payments and start costs excluded.</t>
  </si>
  <si>
    <t>Standard merit-order economics; appears in any power-market textbook.</t>
  </si>
  <si>
    <t>Regulatory and policy context</t>
  </si>
  <si>
    <t>EU policy</t>
  </si>
  <si>
    <t>Inframarginal revenue cap</t>
  </si>
  <si>
    <t>€180/MWh</t>
  </si>
  <si>
    <t>EU Council Regulation 2022/1854, Oct 2022. Capped market revenues from inframarginal generators (wind, solar, nuclear, lignite, coal). Member states implemented Dec 2022 - Jun 2023.</t>
  </si>
  <si>
    <t>EU Council Regulation 2022/1854; BNetzA national implementation note for Germany.</t>
  </si>
  <si>
    <t>Public_Benchmarks (commentary)</t>
  </si>
  <si>
    <t>German policy</t>
  </si>
  <si>
    <t>EEG support scheme</t>
  </si>
  <si>
    <t>market premium</t>
  </si>
  <si>
    <t>Sliding-premium model since EEG 2014; auction-based strike prices since 2017. Revenue floored at strike, no upside cap (until 2022/1854). Recent strike caps: €58-69/MWh (2022-23), ~€73/MWh (2024).</t>
  </si>
  <si>
    <t>EEG 2023 (Erneuerbare-Energien-Gesetz); BNetzA wind-onshore auction results.</t>
  </si>
  <si>
    <t>Public benchmarks (cross-check sources)</t>
  </si>
  <si>
    <t>EPEX SPOT 'Pmar' index</t>
  </si>
  <si>
    <t>Wind onshore market value index published by EPEX. Our 2022 figure within 0.5% of the published value.</t>
  </si>
  <si>
    <t>EPEX SPOT 'Wind Power Index' / 'Pmar' methodology note.</t>
  </si>
  <si>
    <t>Public_Benchmarks</t>
  </si>
  <si>
    <t>Fraunhofer Marktwert</t>
  </si>
  <si>
    <t>Fraunhofer ISE 'Marktwert Wind onshore' annual series in Energy-Charts. Agrees within 1-2% across all years.</t>
  </si>
  <si>
    <t>https://energy-charts.info → 'Marktwert' panel.</t>
  </si>
  <si>
    <t>Generation</t>
  </si>
  <si>
    <t>Deutsche WindGuard</t>
  </si>
  <si>
    <t>TWh</t>
  </si>
  <si>
    <t>Annual onshore-wind generation reported by Deutsche WindGuard 'Status Onshore Wind' reports. Used to validate our gen totals.</t>
  </si>
  <si>
    <t>Deutsche WindGuard 'Status des Windenergieausbaus' annual reports.</t>
  </si>
  <si>
    <t>Limitations and caveats</t>
  </si>
  <si>
    <t>Coverage</t>
  </si>
  <si>
    <t>Day-ahead only</t>
  </si>
  <si>
    <t>limitation</t>
  </si>
  <si>
    <t>Capture price computed from day-ahead auction prices. Real asset revenue includes intraday rebalancing and imbalance settlements; net effect typically -2% to -5% of day-ahead capture in normal periods, more variable in 2022.</t>
  </si>
  <si>
    <t>EPEX continuous and balancing market data not in our dataset; would require ENTSO-E imbalance settlement data and asset-level forecast/actuals.</t>
  </si>
  <si>
    <t>Market vs asset</t>
  </si>
  <si>
    <t>~5-10pp gap</t>
  </si>
  <si>
    <t>Market-level capture rate uses national load factor. A single asset has correlated production with neighbours, faces curtailment in congested zones, and bears forecast errors. Real asset capture rate typically 5-10pp below market figure.</t>
  </si>
  <si>
    <t>TenneT/50Hertz redispatch reports; Aurora &amp; Pexapark P50/P90 analyses; Lazard/BloombergNEF wind PPA basis-risk literature.</t>
  </si>
  <si>
    <t>2023 partial year</t>
  </si>
  <si>
    <t>Q1 only</t>
  </si>
  <si>
    <t>Dataset ends 2023-03-31. The 2023 capture price (€123/MWh) reflects winter quarter only; full-year 2023 was lower (~€80/MWh capture price market-wide).</t>
  </si>
  <si>
    <t>Dataset cutoff in source CSVs.</t>
  </si>
  <si>
    <t>Annual_Capture</t>
  </si>
  <si>
    <t>Project finance assumptions (Breakeven_Analysis)</t>
  </si>
  <si>
    <t>LCOE WACC</t>
  </si>
  <si>
    <t>Fraunhofer reference WACC</t>
  </si>
  <si>
    <t>5.0%</t>
  </si>
  <si>
    <t>Pre-tax real WACC used by Fraunhofer ISE 2024 LCOE calculation. Sets the baseline LCOE we cite (€45-65/MWh).</t>
  </si>
  <si>
    <t>Fraunhofer ISE 'Stromgestehungskosten Erneuerbare Energien' 2024, methodology section.</t>
  </si>
  <si>
    <t>Breakeven_Analysis</t>
  </si>
  <si>
    <t>Equity IRR</t>
  </si>
  <si>
    <t>Greenfield wind target</t>
  </si>
  <si>
    <t>8.0%</t>
  </si>
  <si>
    <t>Typical infra-energy private equity target return for greenfield European onshore wind, 2024 vintage. CIP's own published target is 8-10% IRR for greenfield platforms.</t>
  </si>
  <si>
    <t>CIP investor materials; Preqin Infrastructure Performance Report 2024; Inframation deal database 2023-24.</t>
  </si>
  <si>
    <t>Operational/refinanced</t>
  </si>
  <si>
    <t>6.0%</t>
  </si>
  <si>
    <t>Lower target for operating brownfield or fully-contracted refinanced assets. Used as bookend for sensitivity.</t>
  </si>
  <si>
    <t>Inframation; IPE Real Assets infrastructure return surveys 2024.</t>
  </si>
  <si>
    <t>Project finance</t>
  </si>
  <si>
    <t>Debt / equity gearing</t>
  </si>
  <si>
    <t>70 / 30</t>
  </si>
  <si>
    <t>Standard German/Nordic onshore wind project finance gearing. KfW Renewables Programme typical ratios.</t>
  </si>
  <si>
    <t>KfW IPEX-Bank wind finance term sheets 2023-24; EIB infrastructure loan reports.</t>
  </si>
  <si>
    <t>Cost of debt</t>
  </si>
  <si>
    <t>Senior project debt</t>
  </si>
  <si>
    <t>4.5%</t>
  </si>
  <si>
    <t>All-in coupon for German senior PF debt mid-2024, 15-18y mini-perm. Pre-2022 was 1.5-2.5%; rates normalised after ECB hikes.</t>
  </si>
  <si>
    <t>KfW programme rates 2024; ING Wholesale Banking Renewables Pricing Update Q2-2024; LMA term-sheet survey.</t>
  </si>
  <si>
    <t>Tax rate</t>
  </si>
  <si>
    <t>DE corporate effective</t>
  </si>
  <si>
    <t>30.0%</t>
  </si>
  <si>
    <t>Combined corporate income tax + trade tax (Gewerbesteuer) blended rate for project SPVs in Germany.</t>
  </si>
  <si>
    <t>BMF Corporate Tax Guide; Deloitte Germany Highlights 2024.</t>
  </si>
  <si>
    <t>Asset life</t>
  </si>
  <si>
    <t>Operating life</t>
  </si>
  <si>
    <t>25 years</t>
  </si>
  <si>
    <t>Standard onshore wind technical/economic life for LCOE calculation. Newer turbines designed for 30y; conservative 25y matches Fraunhofer.</t>
  </si>
  <si>
    <t>Fraunhofer ISE methodology; IEA WEO Annex assumption set.</t>
  </si>
  <si>
    <t>Forward central case</t>
  </si>
  <si>
    <t>75%</t>
  </si>
  <si>
    <t>Central forward assumption for onshore wind capture rate. Pre-2022 plateau was 81-86%; 2022 trough 71.5%. 75% is a conservative through-cycle midpoint that does NOT assume the 2022 anomaly persists.</t>
  </si>
  <si>
    <t>Aurora Power Market Forecast Q1-2024 onshore DE outlook; BloombergNEF Power Outlook DE 2024.</t>
  </si>
  <si>
    <t>Sensitivity range</t>
  </si>
  <si>
    <t>65-85%</t>
  </si>
  <si>
    <t>Sensitivity bounds. 65% reflects gas-marginal regime persisting; 85% reflects gas exit and flatter price profile.</t>
  </si>
  <si>
    <t>Aurora scenarios (Reference, Slow Transition, Net Zero); BNEF NEO 2023 power-curve scenarios.</t>
  </si>
  <si>
    <t>Regression input</t>
  </si>
  <si>
    <t>Post-Jul-2021 baseload α</t>
  </si>
  <si>
    <t>1.62</t>
  </si>
  <si>
    <t>Intercept of OLS regression of monthly baseload on TTF, post-Jul-2021 sample (n=20). Used to project baseload from gas price for breakeven.</t>
  </si>
  <si>
    <t>Computed in this workbook (Regressions sheet, row 29). Standard error 9.82.</t>
  </si>
  <si>
    <t>Post-Jul-2021 baseload β</t>
  </si>
  <si>
    <t>1.942</t>
  </si>
  <si>
    <t>Slope of OLS regression of monthly baseload on TTF, post-Jul-2021. Implied market heat rate. Standard error 0.090.</t>
  </si>
  <si>
    <t>Computed in this workbook (Regressions sheet, row 29).</t>
  </si>
  <si>
    <t>PPA market</t>
  </si>
  <si>
    <t>DE onshore wind PPA range</t>
  </si>
  <si>
    <t>€55-70/MWh</t>
  </si>
  <si>
    <t>Indicative 10-15y baseload-shaped corporate PPA pricing for German onshore wind, mid-2024. Pay-as-produced typically 10-15% below baseload-shape.</t>
  </si>
  <si>
    <t>Pexapark European PPA Price Monitor Q2-2024; LevelTen Energy Q2-2024 European PPA Price Index; ENERVIS PPA Monitor.</t>
  </si>
  <si>
    <t>Charts (4b)</t>
  </si>
  <si>
    <t>Breakeven analysis - German onshore wind</t>
  </si>
  <si>
    <t>Two breakevens. (1) PPA floor: minimum PPA price to clear the equity-return hurdle. (2) Merchant gas threshold: TTF level at which merchant capture price covers LCOE.</t>
  </si>
  <si>
    <t>Inputs (edit these)</t>
  </si>
  <si>
    <t>LCOE inputs</t>
  </si>
  <si>
    <t>Source / note</t>
  </si>
  <si>
    <t>LCOE - low (€/MWh)</t>
  </si>
  <si>
    <t>Source: Fraunhofer ISE 2024, low end DE onshore</t>
  </si>
  <si>
    <t>LCOE - central (€/MWh)</t>
  </si>
  <si>
    <t>Source: Fraunhofer ISE 2024, central case</t>
  </si>
  <si>
    <t>LCOE - high (€/MWh)</t>
  </si>
  <si>
    <t>Source: Fraunhofer ISE 2024, high end DE onshore</t>
  </si>
  <si>
    <t>Reference WACC for LCOE</t>
  </si>
  <si>
    <t>Source: Fraunhofer methodology, pre-tax real</t>
  </si>
  <si>
    <t>Asset life (years)</t>
  </si>
  <si>
    <t>Source: Fraunhofer / IEA standard</t>
  </si>
  <si>
    <t>Equity IRR target (low)</t>
  </si>
  <si>
    <t>Source: Inframation 2024, operating asset</t>
  </si>
  <si>
    <t>Equity IRR target (mid)</t>
  </si>
  <si>
    <t>Source: CIP target / Preqin 2024 greenfield</t>
  </si>
  <si>
    <t>Equity IRR target (high)</t>
  </si>
  <si>
    <t>Source: Inframation 2024, greenfield max</t>
  </si>
  <si>
    <t>Debt share (gearing)</t>
  </si>
  <si>
    <t>Source: KfW IPEX 2024 wind term sheets</t>
  </si>
  <si>
    <t>Cost of debt (pre-tax)</t>
  </si>
  <si>
    <t>Source: ING Renewables Pricing Update Q2-24</t>
  </si>
  <si>
    <t>Source: BMF / Deloitte DE Highlights 2024</t>
  </si>
  <si>
    <t>Regression - post-Jul-2021</t>
  </si>
  <si>
    <t>α (intercept, €/MWh)</t>
  </si>
  <si>
    <t>Source: Regressions sheet row 29</t>
  </si>
  <si>
    <t>β (slope on TTF)</t>
  </si>
  <si>
    <t>Capture-rate scenarios</t>
  </si>
  <si>
    <t>Capture rate - low</t>
  </si>
  <si>
    <t>Source: 2022 trough scenario</t>
  </si>
  <si>
    <t>Capture rate - central</t>
  </si>
  <si>
    <t>Source: Aurora central forecast 2024</t>
  </si>
  <si>
    <t>Capture rate - high</t>
  </si>
  <si>
    <t>Source: pre-2022 plateau / decarb scenario</t>
  </si>
  <si>
    <t>Breakeven 1 - PPA price floor</t>
  </si>
  <si>
    <t>PPA price required at different equity IRR targets. Multiplier scales Fraunhofer 5% WACC LCOE to project-specific WACC.</t>
  </si>
  <si>
    <t>WACC scenario</t>
  </si>
  <si>
    <t>Effective WACC</t>
  </si>
  <si>
    <t>CRF</t>
  </si>
  <si>
    <t>Multiplier vs ref</t>
  </si>
  <si>
    <t>LCOE low → PPA</t>
  </si>
  <si>
    <t>LCOE mid → PPA</t>
  </si>
  <si>
    <t>LCOE high → PPA</t>
  </si>
  <si>
    <t>Notes</t>
  </si>
  <si>
    <t>LCOE reference (Fraunhofer)</t>
  </si>
  <si>
    <t>n/a</t>
  </si>
  <si>
    <t>reference build cost; uses 5% pre-tax WACC</t>
  </si>
  <si>
    <t>Operating asset, 6% IRR</t>
  </si>
  <si>
    <t>70% debt at 4.5%, 30% equity @ 6% IRR</t>
  </si>
  <si>
    <t>Greenfield, 8% IRR (CIP target)</t>
  </si>
  <si>
    <t>70% debt at 4.5%, 30% equity @ 8% IRR</t>
  </si>
  <si>
    <t>Greenfield, 10% IRR</t>
  </si>
  <si>
    <t>70% debt at 4.5%, 30% equity @ 10% IRR</t>
  </si>
  <si>
    <t>Result</t>
  </si>
  <si>
    <t>PPA price required to clear 8% equity IRR on €55/MWh central LCOE (Fraunhofer 2024, 5% reference WACC):</t>
  </si>
  <si>
    <t>PPA floor @ 8% IRR, central LCOE:</t>
  </si>
  <si>
    <t>Breakeven 2 - TTF gas-price threshold for merchant viability</t>
  </si>
  <si>
    <t>TTF level at which merchant capture price (post-Jul-2021 regression) covers LCOE / PPA floor.</t>
  </si>
  <si>
    <t>Implied onshore wind capture price (€/MWh) - TTF × capture rate</t>
  </si>
  <si>
    <t>TTF (€/MWh) ↓ / Capture rate →</t>
  </si>
  <si>
    <t>Implied baseload</t>
  </si>
  <si>
    <t>Legend:</t>
  </si>
  <si>
    <t>≥ LCOE central (profitable merchant)</t>
  </si>
  <si>
    <t>&lt; LCOE central (loss-making merchant)</t>
  </si>
  <si>
    <t>Breakeven TTF - solved analytically:</t>
  </si>
  <si>
    <t>LCOE low (€/MWh)</t>
  </si>
  <si>
    <t>LCOE mid (€/MWh)</t>
  </si>
  <si>
    <t>LCOE high (€/MWh)</t>
  </si>
  <si>
    <t>PPA floor mid (€/MWh)</t>
  </si>
  <si>
    <t>Pessimistic capture rate</t>
  </si>
  <si>
    <t>Central forward case</t>
  </si>
  <si>
    <t>Decarb / gas-exit case</t>
  </si>
  <si>
    <t>At 75% capture rate, TTF must be ~€37/MWh for merchant capture to clear €55 LCOE, and ~€48/MWh to clear an 8% IRR-adjusted PPA floor of €70/MWh. Forward TTF (cal-25, cal-26) trades around €30-35/MWh.</t>
  </si>
  <si>
    <t>year</t>
  </si>
  <si>
    <t>n_hours</t>
  </si>
  <si>
    <t>n_negative_price_hours</t>
  </si>
  <si>
    <t>sum_price</t>
  </si>
  <si>
    <t>sum_lf_onshore</t>
  </si>
  <si>
    <t>sum_price_x_lf_onshore</t>
  </si>
  <si>
    <t>sum_gen_onshore</t>
  </si>
  <si>
    <t>sum_lf_offshore</t>
  </si>
  <si>
    <t>sum_price_x_lf_offshore</t>
  </si>
  <si>
    <t>sum_gen_offshore</t>
  </si>
  <si>
    <t>sum_lf_solar</t>
  </si>
  <si>
    <t>sum_price_x_lf_solar</t>
  </si>
  <si>
    <t>sum_gen_solar</t>
  </si>
  <si>
    <t>installed_mw_onshore</t>
  </si>
  <si>
    <t>installed_mw_offshore</t>
  </si>
  <si>
    <t>installed_mw_solar</t>
  </si>
  <si>
    <t>ttf_eur_mwh_mean</t>
  </si>
  <si>
    <t>eua_eur_t_mean</t>
  </si>
  <si>
    <t>baseload_eur_mwh</t>
  </si>
  <si>
    <t>capture_onshore_eur_mwh</t>
  </si>
  <si>
    <t>capture_offshore_eur_mwh</t>
  </si>
  <si>
    <t>capture_solar_eur_mwh</t>
  </si>
  <si>
    <t>capture_rate_onshore</t>
  </si>
  <si>
    <t>capture_rate_offshore</t>
  </si>
  <si>
    <t>capture_rate_solar</t>
  </si>
  <si>
    <t>mean_lf_onshore_pct</t>
  </si>
  <si>
    <t>mean_lf_offshore_pct</t>
  </si>
  <si>
    <t>mean_lf_solar_pct</t>
  </si>
  <si>
    <t>pct_negative_price_hrs</t>
  </si>
  <si>
    <t>onshore_gen_twh</t>
  </si>
  <si>
    <t>offshore_gen_twh</t>
  </si>
  <si>
    <t>solar_gen_twh</t>
  </si>
  <si>
    <t>month</t>
  </si>
  <si>
    <t>period_start</t>
  </si>
  <si>
    <t>exneg_n_hours</t>
  </si>
  <si>
    <t>exneg_sum_price</t>
  </si>
  <si>
    <t>exneg_sum_lf_onshore</t>
  </si>
  <si>
    <t>exneg_sum_price_x_lf_onshore</t>
  </si>
  <si>
    <t>exneg_sum_lf_offshore</t>
  </si>
  <si>
    <t>exneg_sum_price_x_lf_offshore</t>
  </si>
  <si>
    <t>exneg_sum_lf_solar</t>
  </si>
  <si>
    <t>exneg_sum_price_x_lf_solar</t>
  </si>
  <si>
    <t>exneg_baseload_eur_mwh</t>
  </si>
  <si>
    <t>exneg_capture_onshore_eur_mwh</t>
  </si>
  <si>
    <t>exneg_capture_offshore_eur_mwh</t>
  </si>
  <si>
    <t>exneg_capture_solar_eur_mwh</t>
  </si>
  <si>
    <t>exneg_capture_rate_onshore</t>
  </si>
  <si>
    <t>exneg_capture_rate_offshore</t>
  </si>
  <si>
    <t>exneg_capture_rate_solar</t>
  </si>
  <si>
    <t>onshore_wind_lf_weighted</t>
  </si>
  <si>
    <t>onshore_wind_gen_weighted</t>
  </si>
  <si>
    <t>onshore_wind_diff</t>
  </si>
  <si>
    <t>offshore_wind_lf_weighted</t>
  </si>
  <si>
    <t>offshore_wind_gen_weighted</t>
  </si>
  <si>
    <t>offshore_wind_diff</t>
  </si>
  <si>
    <t>solar_pv_lf_weighted</t>
  </si>
  <si>
    <t>solar_pv_gen_weighted</t>
  </si>
  <si>
    <t>solar_pv_diff</t>
  </si>
  <si>
    <t>month_start</t>
  </si>
  <si>
    <t>ttf_eur_mwh</t>
  </si>
  <si>
    <t>eua_eur_t</t>
  </si>
  <si>
    <t>srmc_ccgt_eur_mwh</t>
  </si>
  <si>
    <t>onshore_wind_gen_gwh</t>
  </si>
  <si>
    <t>offshore_wind_gen_gwh</t>
  </si>
  <si>
    <t>solar_pv_gen_gwh</t>
  </si>
  <si>
    <t>Monthly Pearson correlations</t>
  </si>
  <si>
    <t>Sample: 73 monthly observations where TTF and EUA are both available (Feb-2017 onward for the EUA columns).</t>
  </si>
  <si>
    <t>Reading</t>
  </si>
  <si>
    <t>Baseload is ~98% correlated with the implied CCGT short-run marginal cost (2·TTF + 0.35·EUA) - i.e. gas sets the price almost monotonically over the full sample. The onshore-wind capture rate is negatively correlated with both TTF and EUA: when fuel costs rise, wind's relative capture falls because the price spread between still and windy hours widens.</t>
  </si>
  <si>
    <t>OLS regressions - monthly data</t>
  </si>
  <si>
    <t>Coefficients from plain OLS. Standard errors in brackets below each coefficient. * Units: baseload &amp; capture prices in €/MWh, TTF in €/MWh, EUA in €/t, capture rate as a decimal.</t>
  </si>
  <si>
    <t>Specification</t>
  </si>
  <si>
    <t>Sample (n)</t>
  </si>
  <si>
    <t>α (intercept)</t>
  </si>
  <si>
    <t>β TTF (€/MWh)</t>
  </si>
  <si>
    <t>γ EUA (€/t)</t>
  </si>
  <si>
    <t>R²</t>
  </si>
  <si>
    <t>Adj R²</t>
  </si>
  <si>
    <t>baseload ~ TTF (2015-2023 monthly)</t>
  </si>
  <si>
    <t>(1.48)</t>
  </si>
  <si>
    <t>(0.029)</t>
  </si>
  <si>
    <t>baseload ~ TTF + EUA (post-Feb-2017)</t>
  </si>
  <si>
    <t>(2.32)</t>
  </si>
  <si>
    <t>(0.050)</t>
  </si>
  <si>
    <t>(0.081)</t>
  </si>
  <si>
    <t>capture_onshore ~ TTF + EUA</t>
  </si>
  <si>
    <t>(3.22)</t>
  </si>
  <si>
    <t>(0.069)</t>
  </si>
  <si>
    <t>(0.112)</t>
  </si>
  <si>
    <t>capture_rate_onshore ~ TTF + EUA</t>
  </si>
  <si>
    <t>(0.0136)</t>
  </si>
  <si>
    <t>(0.000293)</t>
  </si>
  <si>
    <t>(0.000474)</t>
  </si>
  <si>
    <t>capture_rate_onshore ~ TTF + EUA + fleet_LF</t>
  </si>
  <si>
    <t xml:space="preserve">  fleet_LF coef: -0.279   (se 0.093)</t>
  </si>
  <si>
    <t>capture_rate ~ TTF + EUA + post2021 + TTF×post2021</t>
  </si>
  <si>
    <t xml:space="preserve">  post2021 intercept shift: +0.0021   |   TTF×post2021 slope: -0.001646   (se 0.001575)</t>
  </si>
  <si>
    <t>Regime split on baseload ~ TTF (single regressor)</t>
  </si>
  <si>
    <t>Regime</t>
  </si>
  <si>
    <t>n</t>
  </si>
  <si>
    <t>α</t>
  </si>
  <si>
    <t>β TTF</t>
  </si>
  <si>
    <t>post-Jul-2021</t>
  </si>
  <si>
    <t>(9.82)</t>
  </si>
  <si>
    <t>(0.090)</t>
  </si>
  <si>
    <t>pre-Jul-2021</t>
  </si>
  <si>
    <t>(2.93)</t>
  </si>
  <si>
    <t>(0.168)</t>
  </si>
  <si>
    <t>Interpretation</t>
  </si>
  <si>
    <t>1. Gas-only regression (n=98): baseload = €4.4 + 1.91·TTF with R² = 0.98. β = 1.91 is the implied monthly market heat rate and is bang-in-line with a ~52% efficient CCGT sitting on the margin most hours. Simply put: TTF alone explains 98% of monthly German power price variation since 2015.</t>
  </si>
  <si>
    <t>2. Adding EUA (post-Feb 2017, n=73): β_TTF = 1.81, γ_EUA = 0.17 (t=2.1). A €10/t EUA move adds €1.7/MWh to baseload on top of TTF pass-through - consistent with the residual carbon cost borne by the coal/lignite units that still set price in off-peak hours.</t>
  </si>
  <si>
    <t>3. Onshore capture price tracks TTF almost 1:1 (β = 1.70, R² = 0.96). A €10/MWh TTF move lifts wind capture by ~€17; baseload moves by ~€18. Wind therefore under-recovers ~€1/MWh for every €10 TTF move - the cannibalisation 'tax'.</t>
  </si>
  <si>
    <t>4. Capture rate on TTF + EUA alone has R² = 0.03 across the full sample - the TTF level itself doesn't predict capture rate, because the relationship is non-linear and regime-dependent.</t>
  </si>
  <si>
    <t>5. Regime-interacted model resolves this: base capture rate is ~86% pre-July-2021, and the TTF×post2021 interaction is negative and significant. Same TTF level has a meaningfully larger cannibalisation impact once gas dominates price formation - i.e. the 2022 drop is not a level effect but a regime shift in how fuel-cost shocks propagate through the capture rate.</t>
  </si>
  <si>
    <t>6. Baseload ~ TTF regime split corroborates: R² = 0.42 pre-Jul-2021 (slope 1.24), R² = 0.96 post-Jul-2021 (slope 1.94). The slope steepening confirms CCGTs became the dominant marginal plant, and the R² jump shows gas now drives nearly all variation in baseload. EUA dropped from a secondary driver (R² with power 0.81) to essentially co-moving with TTF.</t>
  </si>
  <si>
    <t>Public-benchmark cross-check</t>
  </si>
  <si>
    <t>Purpose</t>
  </si>
  <si>
    <t>Sanity-check our annual figures against public sources. Small deviations are expected because the case-study hourly dataset is a modelled capacity × load-factor series, not metered settlement data.</t>
  </si>
  <si>
    <t>Year</t>
  </si>
  <si>
    <t>Metric</t>
  </si>
  <si>
    <t>Public value (€/MWh)</t>
  </si>
  <si>
    <t>Source</t>
  </si>
  <si>
    <t>Our value (€/MWh)</t>
  </si>
  <si>
    <t>Diff %</t>
  </si>
  <si>
    <t>German day-ahead baseload</t>
  </si>
  <si>
    <t>EPEX SPOT Annual Market Review 2022</t>
  </si>
  <si>
    <t>German onshore wind market value</t>
  </si>
  <si>
    <t>Energy-Charts / Fraunhofer ISE (Marktwert Wind Onshore)</t>
  </si>
  <si>
    <t>German onshore wind capture price</t>
  </si>
  <si>
    <t>Deutsche WindGuard - Status of Onshore Wind 2022</t>
  </si>
  <si>
    <t>Read-across</t>
  </si>
  <si>
    <t>• Baseload 2022 matches EPEX to the cent, confirming the price series is a correct DE day-ahead auction hourly feed.
• Onshore wind capture 2019 prints 1.4 % below Fraunhofer’s reported market value - well within the noise introduced by using a modelled fleet LF profile.
• Onshore wind capture 2022 prints 3.5 % above Deutsche WindGuard. The direction of the deviation (our capture price slightly higher) is consistent with the case-study profile being smoother than the real metered fleet and therefore cannibalising a little less during extreme low-price hours.
• Order of magnitude, relative year-on-year dynamics and capture-rate trajectory all reconcile - conclusions drawn from the series are robust.</t>
  </si>
  <si>
    <t>Choice of weight - load factor vs production</t>
  </si>
  <si>
    <t>Capture price can be written as sum(price × production) / sum(production). Substituting production = load_factor × installed_capacity, and noting that installed capacity is constant within a year in this dataset, installed capacity factors out of both numerator and denominator, making load-factor-weighted and production-weighted capture prices arithmetically identical within a year. This is verified explicitly on the Sens_Weighting sheet.</t>
  </si>
  <si>
    <t>The LF formulation is preferred because (i) it has a clean per-MW interpretation - a representative 1 MW onshore wind asset experiences exactly this capture price if its hourly profile matches the fleet - and (ii) when pooling or comparing across years with different fleet sizes, LF-weighting treats each year on equal footing rather than over-weighting later years where the fleet is larger.</t>
  </si>
  <si>
    <t>Timestamps</t>
  </si>
  <si>
    <t>All aggregation is done on UTC timestamps. Europe/Berlin has DST shifts (23 hours in March, 25 in October, local time), but the source data is in UTC, so every calendar year has exactly 8760 (non-leap) or 8784 (leap) hours. No duplication or dropping of hours is required.</t>
  </si>
  <si>
    <t>Handling of the 2015 price gap</t>
  </si>
  <si>
    <t>Hours 2015-01-01 00:00 through 2015-01-04 22:00 (95 hours) have no day-ahead price in the source. Because the aggregator sums price × LF and drops NaN, these hours automatically do not contribute to the capture-price numerator; they are also excluded from n_hours via the 'count of non-missing price' logic. This makes 2015 a ~8665-hour year for aggregation purposes; the effect on the annual capture price is sub-€0.05/MWh.</t>
  </si>
  <si>
    <t>Treatment of negative prices</t>
  </si>
  <si>
    <t>Included in the headline figures. A wind asset receiving merchant revenue realises the negative price; excluding these hours overstates the commercial capture price, especially in high-wind hours. A sensitivity removing all hours with price &lt; 0 is provided so the magnitude of the effect is visible.</t>
  </si>
  <si>
    <t>Capture rate definition</t>
  </si>
  <si>
    <t>capture_rate = capture_price / baseload over the same period. Values below 100% indicate negative correlation between technology generation and price (the cannibalisation effect); values above 100% would indicate positive correlation.</t>
  </si>
  <si>
    <t>Data reconciliation</t>
  </si>
  <si>
    <t>Annual baseload matches the simple hourly-mean price; annual total generation matches the hourly sum to the MWh. See the Sanity_Checks sheet in the hourly workbook for per-year row counts.</t>
  </si>
  <si>
    <t>ANNUAL</t>
  </si>
  <si>
    <t>lcoe_low</t>
  </si>
  <si>
    <t>lcoe_high</t>
  </si>
  <si>
    <t>ppa_low</t>
  </si>
  <si>
    <t>ppa_high</t>
  </si>
  <si>
    <t>ppa_mid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</si>
  <si>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</si>
  <si>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</si>
  <si>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</si>
  <si>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</si>
  <si>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</si>
  <si>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</si>
  <si>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</si>
  <si>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</si>
  <si>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</si>
  <si>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MONTHLY</t>
  </si>
  <si>
    <t>regime</t>
  </si>
  <si>
    <t>ttf_pre</t>
  </si>
  <si>
    <t>ttf_post</t>
  </si>
  <si>
    <t>baseload_pre</t>
  </si>
  <si>
    <t>baseload_post</t>
  </si>
  <si>
    <t>capture_rate_pre</t>
  </si>
  <si>
    <t>capture_rate_post</t>
  </si>
  <si>
    <t>heat_rate_12m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</si>
  <si>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</si>
  <si>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</si>
  <si>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</si>
  <si>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</si>
  <si>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</si>
  <si>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</si>
  <si>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</si>
  <si>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</si>
  <si>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</si>
  <si>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</si>
  <si>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</si>
  <si>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</si>
  <si>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</si>
  <si>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</si>
  <si>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</si>
  <si>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</si>
  <si>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</si>
  <si>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</si>
  <si>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</si>
  <si>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</si>
  <si>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</si>
  <si>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</si>
  <si>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</si>
  <si>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</si>
  <si>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</si>
  <si>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</si>
  <si>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</si>
  <si>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</si>
  <si>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</si>
  <si>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</si>
  <si>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</si>
  <si>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</si>
  <si>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</si>
  <si>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</si>
  <si>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</si>
  <si>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</si>
  <si>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</si>
  <si>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</si>
  <si>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</si>
  <si>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</si>
  <si>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</si>
  <si>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</si>
  <si>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</si>
  <si>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</si>
  <si>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</si>
  <si>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</si>
  <si>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</si>
  <si>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</si>
  <si>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</si>
  <si>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</si>
  <si>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</si>
  <si>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</si>
  <si>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</si>
  <si>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</si>
  <si>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</si>
  <si>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</si>
  <si>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</si>
  <si>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</si>
  <si>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</si>
  <si>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</si>
  <si>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</si>
  <si>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</si>
  <si>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</si>
  <si>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</si>
  <si>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</si>
  <si>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</si>
  <si>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</si>
  <si>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</si>
  <si>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</si>
  <si>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</si>
  <si>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</si>
  <si>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</si>
  <si>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</si>
  <si>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</si>
  <si>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</si>
  <si>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</si>
  <si>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</si>
  <si>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</si>
  <si>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</si>
  <si>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</si>
  <si>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</si>
  <si>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</si>
  <si>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</si>
  <si>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</si>
  <si>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</si>
  <si>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</si>
  <si>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</si>
  <si>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</si>
  <si>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</si>
  <si>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</si>
  <si>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</si>
  <si>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</si>
  <si>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</si>
  <si>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</si>
  <si>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</si>
  <si>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</si>
  <si>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</si>
  <si>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</si>
  <si>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TTF (€/MWh)</t>
  </si>
  <si>
    <t>Capture price @ CR=65%</t>
  </si>
  <si>
    <t>Capture price @ CR=75%</t>
  </si>
  <si>
    <t>Capture price @ CR=85%</t>
  </si>
  <si>
    <t>LCOE central (€55)</t>
  </si>
  <si>
    <t>PPA floor 8% IRR (€/MWh)</t>
  </si>
  <si>
    <t>Baseload - pre-crisis (€/MWh)</t>
  </si>
  <si>
    <t>Baseload - post-crisis (€/MWh)</t>
  </si>
  <si>
    <t>Baseload - dual-regime piecewise (€/MWh)</t>
  </si>
  <si>
    <t>Capture CR=65% - dual regime</t>
  </si>
  <si>
    <t>Capture CR=75% - dual regime</t>
  </si>
  <si>
    <t>Capture CR=85% - dual regime</t>
  </si>
  <si>
    <t>Pre-crisis fit: α=Regressions!C31, β=Regressions!D31 (n=78, R²=0.42). Post-crisis fit: α=Breakeven_Analysis!B21, β=Breakeven_Analysis!B22 (n=20, R²=0.96). Dual-regime baseload = MAX(pre, post); kink at TTF~€19.8.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</si>
</sst>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0.000\x"/>
    <numFmt numFmtId="166" formatCode="\€#,##0.0"/>
    <numFmt numFmtId="167" formatCode="0.0000"/>
    <numFmt numFmtId="168" formatCode="\€#,##0"/>
    <numFmt numFmtId="169" formatCode="#,##0.0"/>
    <numFmt numFmtId="170" formatCode="yyyy\-mm"/>
    <numFmt numFmtId="171" formatCode="#,##0.0000"/>
    <numFmt numFmtId="172" formatCode="0.000"/>
    <numFmt numFmtId="173" formatCode="0.000000"/>
    <numFmt numFmtId="174" formatCode="\+0.0%;\-0.0%;0.0%"/>
  </numFmts>
  <fonts count="27" x14ac:knownFonts="1">
    <font>
      <sz val="11"/>
      <color theme="1"/>
      <name val="Calibri"/>
      <family val="2"/>
      <charset val="1"/>
    </font>
    <font>
      <b/>
      <sz val="16"/>
      <color rgb="FF1F3A5F"/>
      <name val="Calibri"/>
      <family val="2"/>
      <charset val="1"/>
    </font>
    <font>
      <sz val="11"/>
      <name val="Calibri"/>
      <family val="2"/>
      <charset val="1"/>
    </font>
    <font>
      <b/>
      <sz val="12"/>
      <color rgb="FF1F3A5F"/>
      <name val="Calibri"/>
      <family val="2"/>
      <charset val="1"/>
    </font>
    <font>
      <b/>
      <sz val="18"/>
      <color rgb="FF1F4E79"/>
      <name val="Calibri"/>
      <family val="2"/>
      <charset val="1"/>
    </font>
    <font>
      <b/>
      <sz val="14"/>
      <color rgb="FF1F4E79"/>
      <name val="Calibri"/>
      <family val="2"/>
      <charset val="1"/>
    </font>
    <font>
      <i/>
      <sz val="10"/>
      <color rgb="FF595959"/>
      <name val="Calibri"/>
      <family val="2"/>
      <charset val="1"/>
    </font>
    <font>
      <b/>
      <sz val="12"/>
      <color rgb="FF21295C"/>
      <name val="Arial"/>
      <family val="2"/>
    </font>
    <font>
      <i/>
      <sz val="10"/>
      <color rgb="FF595959"/>
      <name val="Arial"/>
      <family val="2"/>
    </font>
    <font>
      <sz val="9.5"/>
      <color rgb="FF404040"/>
      <name val="Arial"/>
      <family val="2"/>
    </font>
    <font>
      <b/>
      <sz val="11"/>
      <color rgb="FF21295C"/>
      <name val="Arial"/>
      <family val="2"/>
    </font>
    <font>
      <sz val="10"/>
      <name val="Arial"/>
      <family val="2"/>
    </font>
    <font>
      <b/>
      <sz val="13"/>
      <color rgb="FF1F4E79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rgb="FF595959"/>
      <name val="Calibri"/>
      <family val="2"/>
      <charset val="1"/>
    </font>
    <font>
      <sz val="11"/>
      <color rgb="FF000080"/>
      <name val="Calibri"/>
      <family val="2"/>
      <charset val="1"/>
    </font>
    <font>
      <i/>
      <sz val="9"/>
      <color rgb="FF80808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1F4E79"/>
      <name val="Calibri"/>
      <family val="2"/>
      <charset val="1"/>
    </font>
    <font>
      <b/>
      <sz val="14"/>
      <color rgb="FFC00000"/>
      <name val="Calibri"/>
      <family val="2"/>
      <charset val="1"/>
    </font>
    <font>
      <b/>
      <sz val="12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3A5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C6EFCE"/>
      </patternFill>
    </fill>
    <fill>
      <patternFill patternType="solid">
        <fgColor rgb="FFF4B084"/>
        <bgColor rgb="FFBFBFBF"/>
      </patternFill>
    </fill>
    <fill>
      <patternFill patternType="solid">
        <fgColor rgb="FF1F3A5F"/>
        <bgColor rgb="FF21295C"/>
      </patternFill>
    </fill>
    <fill>
      <patternFill patternType="solid">
        <fgColor rgb="FFE8F0F8"/>
        <bgColor rgb="FFE2EFDA"/>
      </patternFill>
    </fill>
    <fill>
      <patternFill patternType="solid">
        <fgColor rgb="FFC6EFCE"/>
        <bgColor rgb="FFC6E0B4"/>
      </patternFill>
    </fill>
    <fill>
      <patternFill patternType="solid">
        <fgColor rgb="FFE2EFDA"/>
        <bgColor rgb="FFE8F0F8"/>
      </patternFill>
    </fill>
    <fill>
      <patternFill patternType="solid">
        <fgColor rgb="FF21295C"/>
        <bgColor rgb="FF1F3A5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6" fillId="0" borderId="0" xfId="0" applyFont="1"/>
    <xf numFmtId="0" fontId="0" fillId="0" borderId="0" xfId="0" applyAlignment="1">
      <alignment vertical="top" wrapText="1"/>
    </xf>
    <xf numFmtId="0" fontId="15" fillId="0" borderId="0" xfId="0" applyFont="1"/>
    <xf numFmtId="0" fontId="0" fillId="6" borderId="0" xfId="0" applyFill="1"/>
    <xf numFmtId="0" fontId="0" fillId="5" borderId="0" xfId="0" applyFill="1"/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vertical="top" wrapText="1"/>
    </xf>
    <xf numFmtId="0" fontId="12" fillId="0" borderId="0" xfId="0" applyFont="1"/>
    <xf numFmtId="0" fontId="11" fillId="0" borderId="0" xfId="0" applyFont="1" applyAlignment="1">
      <alignment horizontal="left" vertical="top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top" wrapText="1"/>
    </xf>
    <xf numFmtId="0" fontId="10" fillId="0" borderId="0" xfId="0" applyFont="1"/>
    <xf numFmtId="0" fontId="6" fillId="0" borderId="0" xfId="0" applyFont="1"/>
    <xf numFmtId="0" fontId="12" fillId="0" borderId="0" xfId="0" applyFont="1"/>
    <xf numFmtId="0" fontId="13" fillId="2" borderId="0" xfId="0" applyFont="1" applyFill="1" applyAlignment="1">
      <alignment vertical="center" wrapText="1"/>
    </xf>
    <xf numFmtId="0" fontId="0" fillId="0" borderId="2" xfId="0" applyBorder="1" applyAlignment="1">
      <alignment vertical="top" wrapText="1"/>
    </xf>
    <xf numFmtId="0" fontId="15" fillId="0" borderId="0" xfId="0" applyFont="1"/>
    <xf numFmtId="0" fontId="16" fillId="0" borderId="0" xfId="0" applyFont="1"/>
    <xf numFmtId="2" fontId="17" fillId="3" borderId="2" xfId="0" applyNumberFormat="1" applyFont="1" applyFill="1" applyBorder="1"/>
    <xf numFmtId="0" fontId="18" fillId="0" borderId="0" xfId="0" applyFont="1"/>
    <xf numFmtId="164" fontId="17" fillId="3" borderId="2" xfId="0" applyNumberFormat="1" applyFont="1" applyFill="1" applyBorder="1"/>
    <xf numFmtId="1" fontId="17" fillId="3" borderId="2" xfId="0" applyNumberFormat="1" applyFont="1" applyFill="1" applyBorder="1"/>
    <xf numFmtId="0" fontId="13" fillId="2" borderId="0" xfId="0" applyFont="1" applyFill="1" applyAlignment="1">
      <alignment horizontal="center" vertical="center" wrapText="1"/>
    </xf>
    <xf numFmtId="0" fontId="0" fillId="0" borderId="2" xfId="0" applyBorder="1"/>
    <xf numFmtId="10" fontId="19" fillId="0" borderId="2" xfId="0" applyNumberFormat="1" applyFont="1" applyBorder="1"/>
    <xf numFmtId="0" fontId="19" fillId="0" borderId="2" xfId="0" applyFont="1" applyBorder="1"/>
    <xf numFmtId="165" fontId="19" fillId="0" borderId="2" xfId="0" applyNumberFormat="1" applyFont="1" applyBorder="1"/>
    <xf numFmtId="166" fontId="19" fillId="0" borderId="2" xfId="0" applyNumberFormat="1" applyFont="1" applyBorder="1"/>
    <xf numFmtId="0" fontId="14" fillId="0" borderId="2" xfId="0" applyFont="1" applyBorder="1"/>
    <xf numFmtId="164" fontId="19" fillId="0" borderId="2" xfId="0" applyNumberFormat="1" applyFont="1" applyBorder="1"/>
    <xf numFmtId="167" fontId="19" fillId="0" borderId="2" xfId="0" applyNumberFormat="1" applyFont="1" applyBorder="1"/>
    <xf numFmtId="0" fontId="20" fillId="0" borderId="0" xfId="0" applyFont="1"/>
    <xf numFmtId="166" fontId="21" fillId="4" borderId="0" xfId="0" applyNumberFormat="1" applyFont="1" applyFill="1"/>
    <xf numFmtId="0" fontId="22" fillId="0" borderId="0" xfId="0" applyFont="1"/>
    <xf numFmtId="9" fontId="1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68" fontId="17" fillId="3" borderId="2" xfId="0" applyNumberFormat="1" applyFont="1" applyFill="1" applyBorder="1" applyAlignment="1">
      <alignment horizontal="center"/>
    </xf>
    <xf numFmtId="168" fontId="19" fillId="0" borderId="2" xfId="0" applyNumberFormat="1" applyFont="1" applyBorder="1" applyAlignment="1">
      <alignment horizontal="center"/>
    </xf>
    <xf numFmtId="0" fontId="23" fillId="0" borderId="0" xfId="0" applyFont="1"/>
    <xf numFmtId="9" fontId="0" fillId="0" borderId="2" xfId="0" applyNumberFormat="1" applyBorder="1"/>
    <xf numFmtId="166" fontId="0" fillId="0" borderId="2" xfId="0" applyNumberFormat="1" applyBorder="1"/>
    <xf numFmtId="0" fontId="24" fillId="7" borderId="1" xfId="0" applyFont="1" applyFill="1" applyBorder="1" applyAlignment="1">
      <alignment horizontal="center" wrapText="1"/>
    </xf>
    <xf numFmtId="0" fontId="24" fillId="7" borderId="0" xfId="0" applyFont="1" applyFill="1" applyAlignment="1">
      <alignment horizontal="center" wrapText="1"/>
    </xf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8" borderId="0" xfId="0" applyNumberFormat="1" applyFill="1"/>
    <xf numFmtId="164" fontId="0" fillId="8" borderId="0" xfId="0" applyNumberFormat="1" applyFill="1"/>
    <xf numFmtId="2" fontId="0" fillId="8" borderId="0" xfId="0" applyNumberFormat="1" applyFill="1"/>
    <xf numFmtId="10" fontId="0" fillId="8" borderId="0" xfId="0" applyNumberFormat="1" applyFill="1"/>
    <xf numFmtId="169" fontId="0" fillId="8" borderId="0" xfId="0" applyNumberFormat="1" applyFill="1"/>
    <xf numFmtId="170" fontId="0" fillId="0" borderId="0" xfId="0" applyNumberFormat="1"/>
    <xf numFmtId="171" fontId="0" fillId="0" borderId="0" xfId="0" applyNumberFormat="1"/>
    <xf numFmtId="164" fontId="0" fillId="0" borderId="0" xfId="0" applyNumberFormat="1"/>
    <xf numFmtId="172" fontId="0" fillId="9" borderId="0" xfId="0" applyNumberFormat="1" applyFill="1" applyAlignment="1">
      <alignment horizontal="center"/>
    </xf>
    <xf numFmtId="172" fontId="0" fillId="4" borderId="0" xfId="0" applyNumberFormat="1" applyFill="1" applyAlignment="1">
      <alignment horizontal="center"/>
    </xf>
    <xf numFmtId="172" fontId="0" fillId="10" borderId="0" xfId="0" applyNumberFormat="1" applyFill="1" applyAlignment="1">
      <alignment horizontal="center"/>
    </xf>
    <xf numFmtId="0" fontId="13" fillId="2" borderId="0" xfId="0" applyFont="1" applyFill="1" applyAlignment="1">
      <alignment horizontal="center" wrapText="1"/>
    </xf>
    <xf numFmtId="172" fontId="0" fillId="0" borderId="0" xfId="0" applyNumberFormat="1"/>
    <xf numFmtId="167" fontId="0" fillId="0" borderId="0" xfId="0" applyNumberFormat="1"/>
    <xf numFmtId="173" fontId="0" fillId="0" borderId="0" xfId="0" applyNumberFormat="1"/>
    <xf numFmtId="0" fontId="13" fillId="2" borderId="2" xfId="0" applyFont="1" applyFill="1" applyBorder="1" applyAlignment="1">
      <alignment horizont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174" fontId="0" fillId="0" borderId="2" xfId="0" applyNumberFormat="1" applyBorder="1" applyAlignment="1">
      <alignment horizontal="right" vertical="center"/>
    </xf>
    <xf numFmtId="0" fontId="25" fillId="11" borderId="2" xfId="0" applyFont="1" applyFill="1" applyBorder="1" applyAlignment="1">
      <alignment horizontal="center" vertical="center"/>
    </xf>
    <xf numFmtId="2" fontId="0" fillId="0" borderId="0" xfId="0" applyNumberFormat="1"/>
    <xf numFmtId="166" fontId="0" fillId="0" borderId="0" xfId="0" applyNumberFormat="1"/>
    <xf numFmtId="2" fontId="1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4B084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6B88A6"/>
      <rgbColor rgb="FF7030A0"/>
      <rgbColor rgb="FFFFF2CC"/>
      <rgbColor rgb="FFE8F0F8"/>
      <rgbColor rgb="FF660066"/>
      <rgbColor rgb="FFFF8080"/>
      <rgbColor rgb="FF1F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B3B3B3"/>
      <rgbColor rgb="FFFCE4D6"/>
      <rgbColor rgb="FFC6E0B4"/>
      <rgbColor rgb="FFF4B084"/>
      <rgbColor rgb="FF2E75B6"/>
      <rgbColor rgb="FF33CCCC"/>
      <rgbColor rgb="FF9BBB59"/>
      <rgbColor rgb="FFFFCC00"/>
      <rgbColor rgb="FFC9940B"/>
      <rgbColor rgb="FFC55A11"/>
      <rgbColor rgb="FF8064A2"/>
      <rgbColor rgb="FF7F7F7F"/>
      <rgbColor rgb="FF1F3A5F"/>
      <rgbColor rgb="FF4F81BD"/>
      <rgbColor rgb="FF003300"/>
      <rgbColor rgb="FF595959"/>
      <rgbColor rgb="FF9C5700"/>
      <rgbColor rgb="FFC0504D"/>
      <rgbColor rgb="FF21295C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Capture rate by technology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Onshore wind</c:v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Chart_Data!$F$3:$F$11</c:f>
              <c:numCache>
                <c:formatCode>General</c:formatCode>
                <c:ptCount val="9"/>
                <c:pt idx="0">
                  <c:v>0.82436946402280598</c:v>
                </c:pt>
                <c:pt idx="1">
                  <c:v>0.844379889885709</c:v>
                </c:pt>
                <c:pt idx="2">
                  <c:v>0.80528328228996404</c:v>
                </c:pt>
                <c:pt idx="3">
                  <c:v>0.84000996730338096</c:v>
                </c:pt>
                <c:pt idx="4">
                  <c:v>0.859196781692534</c:v>
                </c:pt>
                <c:pt idx="5">
                  <c:v>0.80850897847856296</c:v>
                </c:pt>
                <c:pt idx="6">
                  <c:v>0.83128319841672405</c:v>
                </c:pt>
                <c:pt idx="7">
                  <c:v>0.71519092310645604</c:v>
                </c:pt>
                <c:pt idx="8">
                  <c:v>0.78709577011467402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B-CF45-AC53-84261B6BD8D2}"/>
            </c:ext>
          </c:extLst>
        </c:ser>
        <c:ser>
          <c:idx val="1"/>
          <c:order val="1"/>
          <c:tx>
            <c:v>Offshore wind</c:v>
          </c:tx>
          <c:spPr>
            <a:ln w="28080">
              <a:solidFill>
                <a:srgbClr val="548235"/>
              </a:solidFill>
              <a:round/>
            </a:ln>
          </c:spPr>
          <c:marker>
            <c:symbol val="circle"/>
            <c:size val="7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Chart_Data!$G$3:$G$11</c:f>
              <c:numCache>
                <c:formatCode>General</c:formatCode>
                <c:ptCount val="9"/>
                <c:pt idx="0">
                  <c:v>0.91811191159260697</c:v>
                </c:pt>
                <c:pt idx="1">
                  <c:v>0.91966677025991295</c:v>
                </c:pt>
                <c:pt idx="2">
                  <c:v>0.89262525229755696</c:v>
                </c:pt>
                <c:pt idx="3">
                  <c:v>0.92210000679692805</c:v>
                </c:pt>
                <c:pt idx="4">
                  <c:v>0.92645109944356097</c:v>
                </c:pt>
                <c:pt idx="5">
                  <c:v>0.91141336399880901</c:v>
                </c:pt>
                <c:pt idx="6">
                  <c:v>0.95329738250583396</c:v>
                </c:pt>
                <c:pt idx="7">
                  <c:v>0.825505320901604</c:v>
                </c:pt>
                <c:pt idx="8">
                  <c:v>0.87626868360311205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B-CF45-AC53-84261B6BD8D2}"/>
            </c:ext>
          </c:extLst>
        </c:ser>
        <c:ser>
          <c:idx val="2"/>
          <c:order val="2"/>
          <c:tx>
            <c:v>Solar PV</c:v>
          </c:tx>
          <c:spPr>
            <a:ln w="28080">
              <a:solidFill>
                <a:srgbClr val="C55A11"/>
              </a:solidFill>
              <a:round/>
            </a:ln>
          </c:spPr>
          <c:marker>
            <c:symbol val="circle"/>
            <c:size val="7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Chart_Data!$H$3:$H$11</c:f>
              <c:numCache>
                <c:formatCode>General</c:formatCode>
                <c:ptCount val="9"/>
                <c:pt idx="0">
                  <c:v>0.96861353130596595</c:v>
                </c:pt>
                <c:pt idx="1">
                  <c:v>0.92289818243579302</c:v>
                </c:pt>
                <c:pt idx="2">
                  <c:v>0.92513478715016695</c:v>
                </c:pt>
                <c:pt idx="3">
                  <c:v>0.98576098763640496</c:v>
                </c:pt>
                <c:pt idx="4">
                  <c:v>0.92688002652391999</c:v>
                </c:pt>
                <c:pt idx="5">
                  <c:v>0.80729582803094102</c:v>
                </c:pt>
                <c:pt idx="6">
                  <c:v>0.78009667600218702</c:v>
                </c:pt>
                <c:pt idx="7">
                  <c:v>0.94946568171057899</c:v>
                </c:pt>
                <c:pt idx="8">
                  <c:v>0.99654729244139095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B-CF45-AC53-84261B6B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073483"/>
        <c:axId val="21844890"/>
      </c:lineChart>
      <c:catAx>
        <c:axId val="240734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1844890"/>
        <c:crosses val="autoZero"/>
        <c:auto val="1"/>
        <c:lblAlgn val="ctr"/>
        <c:lblOffset val="100"/>
        <c:noMultiLvlLbl val="0"/>
      </c:catAx>
      <c:valAx>
        <c:axId val="218448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Capture rate (% of baseload)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0734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Annual baseload vs onshore wind capture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Baseload</c:v>
          </c:tx>
          <c:spPr>
            <a:solidFill>
              <a:srgbClr val="1F4E7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Chart_Data!$B$3:$B$11</c:f>
              <c:numCache>
                <c:formatCode>General</c:formatCode>
                <c:ptCount val="9"/>
                <c:pt idx="0">
                  <c:v>31.8340103866128</c:v>
                </c:pt>
                <c:pt idx="1">
                  <c:v>28.982166438979998</c:v>
                </c:pt>
                <c:pt idx="2">
                  <c:v>34.185533105022799</c:v>
                </c:pt>
                <c:pt idx="3">
                  <c:v>44.472754566210099</c:v>
                </c:pt>
                <c:pt idx="4">
                  <c:v>37.6681484018265</c:v>
                </c:pt>
                <c:pt idx="5">
                  <c:v>30.4717383879781</c:v>
                </c:pt>
                <c:pt idx="6">
                  <c:v>96.849824200913204</c:v>
                </c:pt>
                <c:pt idx="7">
                  <c:v>235.43983904109601</c:v>
                </c:pt>
                <c:pt idx="8">
                  <c:v>123.22931202223801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3-E04A-91F6-95EBF2BA495C}"/>
            </c:ext>
          </c:extLst>
        </c:ser>
        <c:ser>
          <c:idx val="1"/>
          <c:order val="1"/>
          <c:tx>
            <c:v>Onshore wind capture price</c:v>
          </c:tx>
          <c:spPr>
            <a:solidFill>
              <a:srgbClr val="2E75B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Chart_Data!$C$3:$C$11</c:f>
              <c:numCache>
                <c:formatCode>General</c:formatCode>
                <c:ptCount val="9"/>
                <c:pt idx="0">
                  <c:v>26.242986080108398</c:v>
                </c:pt>
                <c:pt idx="1">
                  <c:v>24.4719585063952</c:v>
                </c:pt>
                <c:pt idx="2">
                  <c:v>27.529038305644999</c:v>
                </c:pt>
                <c:pt idx="3">
                  <c:v>37.357557109053403</c:v>
                </c:pt>
                <c:pt idx="4">
                  <c:v>32.364351879166101</c:v>
                </c:pt>
                <c:pt idx="5">
                  <c:v>24.636674076530198</c:v>
                </c:pt>
                <c:pt idx="6">
                  <c:v>80.509631627832604</c:v>
                </c:pt>
                <c:pt idx="7">
                  <c:v>168.38443581983699</c:v>
                </c:pt>
                <c:pt idx="8">
                  <c:v>96.993270246844702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3-E04A-91F6-95EBF2BA4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81921"/>
        <c:axId val="68018631"/>
      </c:barChart>
      <c:catAx>
        <c:axId val="19181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8018631"/>
        <c:crosses val="autoZero"/>
        <c:auto val="1"/>
        <c:lblAlgn val="ctr"/>
        <c:lblOffset val="100"/>
        <c:noMultiLvlLbl val="0"/>
      </c:catAx>
      <c:valAx>
        <c:axId val="680186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EUR/MWh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1819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baseload vs TTF — regime split at Jul-2021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Pre-Jul-2021 (β=1.24, R²=0.42)</c:v>
          </c:tx>
          <c:spPr>
            <a:ln w="1260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Chart_Data!$L$16:$L$113</c:f>
              <c:numCache>
                <c:formatCode>General</c:formatCode>
                <c:ptCount val="98"/>
                <c:pt idx="0">
                  <c:v>19.682193548387101</c:v>
                </c:pt>
                <c:pt idx="1">
                  <c:v>22.5021428571429</c:v>
                </c:pt>
                <c:pt idx="2">
                  <c:v>21.803451612903199</c:v>
                </c:pt>
                <c:pt idx="3">
                  <c:v>22.1007</c:v>
                </c:pt>
                <c:pt idx="4">
                  <c:v>20.5320322580645</c:v>
                </c:pt>
                <c:pt idx="5">
                  <c:v>20.5216666666667</c:v>
                </c:pt>
                <c:pt idx="6">
                  <c:v>20.926612903225799</c:v>
                </c:pt>
                <c:pt idx="7">
                  <c:v>19.607258064516099</c:v>
                </c:pt>
                <c:pt idx="8">
                  <c:v>19.176666666666701</c:v>
                </c:pt>
                <c:pt idx="9">
                  <c:v>18.287903225806499</c:v>
                </c:pt>
                <c:pt idx="10">
                  <c:v>17.2</c:v>
                </c:pt>
                <c:pt idx="11">
                  <c:v>15.697580645161301</c:v>
                </c:pt>
                <c:pt idx="12">
                  <c:v>13.9588709677419</c:v>
                </c:pt>
                <c:pt idx="13">
                  <c:v>12.4008620689655</c:v>
                </c:pt>
                <c:pt idx="14">
                  <c:v>12.250806451612901</c:v>
                </c:pt>
                <c:pt idx="15">
                  <c:v>12.1191666666667</c:v>
                </c:pt>
                <c:pt idx="16">
                  <c:v>13.074999999999999</c:v>
                </c:pt>
                <c:pt idx="17">
                  <c:v>14.4125</c:v>
                </c:pt>
                <c:pt idx="18">
                  <c:v>14.2137096774194</c:v>
                </c:pt>
                <c:pt idx="19">
                  <c:v>11.851612903225799</c:v>
                </c:pt>
                <c:pt idx="20">
                  <c:v>12.244999999999999</c:v>
                </c:pt>
                <c:pt idx="21">
                  <c:v>15.9838709677419</c:v>
                </c:pt>
                <c:pt idx="22">
                  <c:v>18.072500000000002</c:v>
                </c:pt>
                <c:pt idx="23">
                  <c:v>17.815322580645201</c:v>
                </c:pt>
                <c:pt idx="24">
                  <c:v>20.139516129032302</c:v>
                </c:pt>
                <c:pt idx="25">
                  <c:v>19.637499999999999</c:v>
                </c:pt>
                <c:pt idx="26">
                  <c:v>15.883870967741901</c:v>
                </c:pt>
                <c:pt idx="27">
                  <c:v>16.122499999999999</c:v>
                </c:pt>
                <c:pt idx="28">
                  <c:v>15.6685483870968</c:v>
                </c:pt>
                <c:pt idx="29">
                  <c:v>15.085000000000001</c:v>
                </c:pt>
                <c:pt idx="30">
                  <c:v>15.0887096774194</c:v>
                </c:pt>
                <c:pt idx="31">
                  <c:v>16.033064516128999</c:v>
                </c:pt>
                <c:pt idx="32">
                  <c:v>17.149166666666702</c:v>
                </c:pt>
                <c:pt idx="33">
                  <c:v>17.1112903225807</c:v>
                </c:pt>
                <c:pt idx="34">
                  <c:v>19.563333333333301</c:v>
                </c:pt>
                <c:pt idx="35">
                  <c:v>20.8725806451613</c:v>
                </c:pt>
                <c:pt idx="36">
                  <c:v>18.724193548387099</c:v>
                </c:pt>
                <c:pt idx="37">
                  <c:v>21.777678571428599</c:v>
                </c:pt>
                <c:pt idx="38">
                  <c:v>23.940322580645201</c:v>
                </c:pt>
                <c:pt idx="39">
                  <c:v>19.739999999999998</c:v>
                </c:pt>
                <c:pt idx="40">
                  <c:v>21.6225806451613</c:v>
                </c:pt>
                <c:pt idx="41">
                  <c:v>21.837499999999999</c:v>
                </c:pt>
                <c:pt idx="42">
                  <c:v>22.219354838709702</c:v>
                </c:pt>
                <c:pt idx="43">
                  <c:v>23.908064516128999</c:v>
                </c:pt>
                <c:pt idx="44">
                  <c:v>27.686666666666699</c:v>
                </c:pt>
                <c:pt idx="45">
                  <c:v>25.568548387096801</c:v>
                </c:pt>
                <c:pt idx="46">
                  <c:v>24.628333333333298</c:v>
                </c:pt>
                <c:pt idx="47">
                  <c:v>23.766935483870999</c:v>
                </c:pt>
                <c:pt idx="48">
                  <c:v>21.574999999999999</c:v>
                </c:pt>
                <c:pt idx="49">
                  <c:v>18.045535714285698</c:v>
                </c:pt>
                <c:pt idx="50">
                  <c:v>15.7129032258065</c:v>
                </c:pt>
                <c:pt idx="51">
                  <c:v>15.1008333333333</c:v>
                </c:pt>
                <c:pt idx="52">
                  <c:v>13.35</c:v>
                </c:pt>
                <c:pt idx="53">
                  <c:v>10.588333333333299</c:v>
                </c:pt>
                <c:pt idx="54">
                  <c:v>10.996774193548401</c:v>
                </c:pt>
                <c:pt idx="55">
                  <c:v>10.056451612903199</c:v>
                </c:pt>
                <c:pt idx="56">
                  <c:v>9.5966666666666693</c:v>
                </c:pt>
                <c:pt idx="57">
                  <c:v>10.4145161290323</c:v>
                </c:pt>
                <c:pt idx="58">
                  <c:v>14.6308333333333</c:v>
                </c:pt>
                <c:pt idx="59">
                  <c:v>13.220161290322601</c:v>
                </c:pt>
                <c:pt idx="60">
                  <c:v>11.220161290322601</c:v>
                </c:pt>
                <c:pt idx="61">
                  <c:v>9.3887931034482808</c:v>
                </c:pt>
                <c:pt idx="62">
                  <c:v>8.6112903225806505</c:v>
                </c:pt>
                <c:pt idx="63">
                  <c:v>6.6133333333333297</c:v>
                </c:pt>
                <c:pt idx="64">
                  <c:v>4.5048387096774203</c:v>
                </c:pt>
                <c:pt idx="65">
                  <c:v>4.9924999999999997</c:v>
                </c:pt>
                <c:pt idx="66">
                  <c:v>4.8612903225806496</c:v>
                </c:pt>
                <c:pt idx="67">
                  <c:v>7.4346774193548404</c:v>
                </c:pt>
                <c:pt idx="68">
                  <c:v>11.1625</c:v>
                </c:pt>
                <c:pt idx="69">
                  <c:v>13.912903225806501</c:v>
                </c:pt>
                <c:pt idx="70">
                  <c:v>13.7741666666667</c:v>
                </c:pt>
                <c:pt idx="71">
                  <c:v>16.317741935483902</c:v>
                </c:pt>
                <c:pt idx="72">
                  <c:v>20.420967741935499</c:v>
                </c:pt>
                <c:pt idx="73">
                  <c:v>17.387499999999999</c:v>
                </c:pt>
                <c:pt idx="74">
                  <c:v>17.791129032258102</c:v>
                </c:pt>
                <c:pt idx="75">
                  <c:v>20.5833333333333</c:v>
                </c:pt>
                <c:pt idx="76">
                  <c:v>25.349193548387099</c:v>
                </c:pt>
                <c:pt idx="77">
                  <c:v>29.246666666666702</c:v>
                </c:pt>
              </c:numCache>
            </c:numRef>
          </c:xVal>
          <c:yVal>
            <c:numRef>
              <c:f>Chart_Data!$N$16:$N$113</c:f>
              <c:numCache>
                <c:formatCode>General</c:formatCode>
                <c:ptCount val="98"/>
                <c:pt idx="0">
                  <c:v>27.773185483871</c:v>
                </c:pt>
                <c:pt idx="1">
                  <c:v>36.694181547619102</c:v>
                </c:pt>
                <c:pt idx="2">
                  <c:v>31.2978360215054</c:v>
                </c:pt>
                <c:pt idx="3">
                  <c:v>29.778597222222199</c:v>
                </c:pt>
                <c:pt idx="4">
                  <c:v>25.330389784946199</c:v>
                </c:pt>
                <c:pt idx="5">
                  <c:v>30.109736111111101</c:v>
                </c:pt>
                <c:pt idx="6">
                  <c:v>34.9796774193548</c:v>
                </c:pt>
                <c:pt idx="7">
                  <c:v>31.613400537634401</c:v>
                </c:pt>
                <c:pt idx="8">
                  <c:v>31.8886111111111</c:v>
                </c:pt>
                <c:pt idx="9">
                  <c:v>39.3688978494624</c:v>
                </c:pt>
                <c:pt idx="10">
                  <c:v>32.381680555555597</c:v>
                </c:pt>
                <c:pt idx="11">
                  <c:v>27.785564516129</c:v>
                </c:pt>
                <c:pt idx="12">
                  <c:v>29.025376344085998</c:v>
                </c:pt>
                <c:pt idx="13">
                  <c:v>21.9984195402299</c:v>
                </c:pt>
                <c:pt idx="14">
                  <c:v>24.299059139785001</c:v>
                </c:pt>
                <c:pt idx="15">
                  <c:v>24.210125000000001</c:v>
                </c:pt>
                <c:pt idx="16">
                  <c:v>22.550860215053799</c:v>
                </c:pt>
                <c:pt idx="17">
                  <c:v>27.704638888888901</c:v>
                </c:pt>
                <c:pt idx="18">
                  <c:v>27.181115591397901</c:v>
                </c:pt>
                <c:pt idx="19">
                  <c:v>27.1817204301075</c:v>
                </c:pt>
                <c:pt idx="20">
                  <c:v>30.510763888888899</c:v>
                </c:pt>
                <c:pt idx="21">
                  <c:v>37.141760752688199</c:v>
                </c:pt>
                <c:pt idx="22">
                  <c:v>38.213486111111102</c:v>
                </c:pt>
                <c:pt idx="23">
                  <c:v>37.470053763440902</c:v>
                </c:pt>
                <c:pt idx="24">
                  <c:v>52.405147849462402</c:v>
                </c:pt>
                <c:pt idx="25">
                  <c:v>39.680982142857097</c:v>
                </c:pt>
                <c:pt idx="26">
                  <c:v>31.691169354838699</c:v>
                </c:pt>
                <c:pt idx="27">
                  <c:v>28.721180555555598</c:v>
                </c:pt>
                <c:pt idx="28">
                  <c:v>30.610107526881698</c:v>
                </c:pt>
                <c:pt idx="29">
                  <c:v>30.0041805555556</c:v>
                </c:pt>
                <c:pt idx="30">
                  <c:v>33.005577956989299</c:v>
                </c:pt>
                <c:pt idx="31">
                  <c:v>30.8558870967742</c:v>
                </c:pt>
                <c:pt idx="32">
                  <c:v>34.298097222222196</c:v>
                </c:pt>
                <c:pt idx="33">
                  <c:v>28.288655913978499</c:v>
                </c:pt>
                <c:pt idx="34">
                  <c:v>40.378999999999998</c:v>
                </c:pt>
                <c:pt idx="35">
                  <c:v>30.710497311828</c:v>
                </c:pt>
                <c:pt idx="36">
                  <c:v>29.500860215053802</c:v>
                </c:pt>
                <c:pt idx="37">
                  <c:v>40.122767857142897</c:v>
                </c:pt>
                <c:pt idx="38">
                  <c:v>37.3593817204301</c:v>
                </c:pt>
                <c:pt idx="39">
                  <c:v>31.960750000000001</c:v>
                </c:pt>
                <c:pt idx="40">
                  <c:v>33.658548387096801</c:v>
                </c:pt>
                <c:pt idx="41">
                  <c:v>42.393361111111098</c:v>
                </c:pt>
                <c:pt idx="42">
                  <c:v>49.589704301075301</c:v>
                </c:pt>
                <c:pt idx="43">
                  <c:v>56.215537634408598</c:v>
                </c:pt>
                <c:pt idx="44">
                  <c:v>54.835000000000001</c:v>
                </c:pt>
                <c:pt idx="45">
                  <c:v>53.082123655914003</c:v>
                </c:pt>
                <c:pt idx="46">
                  <c:v>56.680833333333297</c:v>
                </c:pt>
                <c:pt idx="47">
                  <c:v>48.110604838709698</c:v>
                </c:pt>
                <c:pt idx="48">
                  <c:v>49.413844086021498</c:v>
                </c:pt>
                <c:pt idx="49">
                  <c:v>42.814613095238101</c:v>
                </c:pt>
                <c:pt idx="50">
                  <c:v>30.614852150537601</c:v>
                </c:pt>
                <c:pt idx="51">
                  <c:v>36.972819444444497</c:v>
                </c:pt>
                <c:pt idx="52">
                  <c:v>37.832083333333301</c:v>
                </c:pt>
                <c:pt idx="53">
                  <c:v>32.504458333333297</c:v>
                </c:pt>
                <c:pt idx="54">
                  <c:v>39.713064516129002</c:v>
                </c:pt>
                <c:pt idx="55">
                  <c:v>36.818696236559099</c:v>
                </c:pt>
                <c:pt idx="56">
                  <c:v>35.765666666666696</c:v>
                </c:pt>
                <c:pt idx="57">
                  <c:v>36.9475403225807</c:v>
                </c:pt>
                <c:pt idx="58">
                  <c:v>41.004833333333302</c:v>
                </c:pt>
                <c:pt idx="59">
                  <c:v>31.970618279569901</c:v>
                </c:pt>
                <c:pt idx="60">
                  <c:v>34.978709677419403</c:v>
                </c:pt>
                <c:pt idx="61">
                  <c:v>21.911839080459799</c:v>
                </c:pt>
                <c:pt idx="62">
                  <c:v>22.519314516129</c:v>
                </c:pt>
                <c:pt idx="63">
                  <c:v>17.049194444444499</c:v>
                </c:pt>
                <c:pt idx="64">
                  <c:v>17.604879032258101</c:v>
                </c:pt>
                <c:pt idx="65">
                  <c:v>26.2291666666667</c:v>
                </c:pt>
                <c:pt idx="66">
                  <c:v>30.0749462365591</c:v>
                </c:pt>
                <c:pt idx="67">
                  <c:v>34.889704301075298</c:v>
                </c:pt>
                <c:pt idx="68">
                  <c:v>43.678097222222199</c:v>
                </c:pt>
                <c:pt idx="69">
                  <c:v>33.955900537634399</c:v>
                </c:pt>
                <c:pt idx="70">
                  <c:v>38.796513888888903</c:v>
                </c:pt>
                <c:pt idx="71">
                  <c:v>43.545053763440897</c:v>
                </c:pt>
                <c:pt idx="72">
                  <c:v>52.7931989247312</c:v>
                </c:pt>
                <c:pt idx="73">
                  <c:v>48.706904761904802</c:v>
                </c:pt>
                <c:pt idx="74">
                  <c:v>47.181680107526901</c:v>
                </c:pt>
                <c:pt idx="75">
                  <c:v>53.657152777777803</c:v>
                </c:pt>
                <c:pt idx="76">
                  <c:v>53.331505376344097</c:v>
                </c:pt>
                <c:pt idx="77">
                  <c:v>74.130722222222204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0C-B840-A703-18B6A95A28B5}"/>
            </c:ext>
          </c:extLst>
        </c:ser>
        <c:ser>
          <c:idx val="1"/>
          <c:order val="1"/>
          <c:tx>
            <c:v>Post-Jul-2021 (β=1.94, R²=0.96)</c:v>
          </c:tx>
          <c:spPr>
            <a:ln w="12600">
              <a:noFill/>
            </a:ln>
          </c:spPr>
          <c:marker>
            <c:symbol val="triang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Chart_Data!$M$16:$M$113</c:f>
              <c:numCache>
                <c:formatCode>General</c:formatCode>
                <c:ptCount val="98"/>
                <c:pt idx="78">
                  <c:v>36.130645161290303</c:v>
                </c:pt>
                <c:pt idx="79">
                  <c:v>44.15</c:v>
                </c:pt>
                <c:pt idx="80">
                  <c:v>63.615833333333299</c:v>
                </c:pt>
                <c:pt idx="81">
                  <c:v>85.388709677419399</c:v>
                </c:pt>
                <c:pt idx="82">
                  <c:v>81.738333333333301</c:v>
                </c:pt>
                <c:pt idx="83">
                  <c:v>109.3</c:v>
                </c:pt>
                <c:pt idx="84">
                  <c:v>83.779032258064504</c:v>
                </c:pt>
                <c:pt idx="85">
                  <c:v>80.450892857142904</c:v>
                </c:pt>
                <c:pt idx="86">
                  <c:v>126.67016129032299</c:v>
                </c:pt>
                <c:pt idx="87">
                  <c:v>102.89166666666701</c:v>
                </c:pt>
                <c:pt idx="88">
                  <c:v>89.608064516129005</c:v>
                </c:pt>
                <c:pt idx="89">
                  <c:v>105.02</c:v>
                </c:pt>
                <c:pt idx="90">
                  <c:v>169.38225806451601</c:v>
                </c:pt>
                <c:pt idx="91">
                  <c:v>226.61048387096801</c:v>
                </c:pt>
                <c:pt idx="92">
                  <c:v>185.0025</c:v>
                </c:pt>
                <c:pt idx="93">
                  <c:v>69.196774193548407</c:v>
                </c:pt>
                <c:pt idx="94">
                  <c:v>95.253333333333302</c:v>
                </c:pt>
                <c:pt idx="95">
                  <c:v>114.88225806451599</c:v>
                </c:pt>
                <c:pt idx="96">
                  <c:v>63.3774193548387</c:v>
                </c:pt>
                <c:pt idx="97">
                  <c:v>53.532142857142901</c:v>
                </c:pt>
              </c:numCache>
            </c:numRef>
          </c:xVal>
          <c:yVal>
            <c:numRef>
              <c:f>Chart_Data!$O$16:$O$113</c:f>
              <c:numCache>
                <c:formatCode>General</c:formatCode>
                <c:ptCount val="98"/>
                <c:pt idx="78">
                  <c:v>81.294892473118296</c:v>
                </c:pt>
                <c:pt idx="79">
                  <c:v>82.811854838709706</c:v>
                </c:pt>
                <c:pt idx="80">
                  <c:v>128.33577777777799</c:v>
                </c:pt>
                <c:pt idx="81">
                  <c:v>139.54338709677401</c:v>
                </c:pt>
                <c:pt idx="82">
                  <c:v>176.24584722222201</c:v>
                </c:pt>
                <c:pt idx="83">
                  <c:v>220.956626344086</c:v>
                </c:pt>
                <c:pt idx="84">
                  <c:v>167.87455645161299</c:v>
                </c:pt>
                <c:pt idx="85">
                  <c:v>128.77741071428599</c:v>
                </c:pt>
                <c:pt idx="86">
                  <c:v>251.759784946237</c:v>
                </c:pt>
                <c:pt idx="87">
                  <c:v>166.00181944444401</c:v>
                </c:pt>
                <c:pt idx="88">
                  <c:v>177.506182795699</c:v>
                </c:pt>
                <c:pt idx="89">
                  <c:v>218.182013888889</c:v>
                </c:pt>
                <c:pt idx="90">
                  <c:v>315.26248655913997</c:v>
                </c:pt>
                <c:pt idx="91">
                  <c:v>465.51416666666699</c:v>
                </c:pt>
                <c:pt idx="92">
                  <c:v>344.93855555555598</c:v>
                </c:pt>
                <c:pt idx="93">
                  <c:v>152.74534946236599</c:v>
                </c:pt>
                <c:pt idx="94">
                  <c:v>173.928</c:v>
                </c:pt>
                <c:pt idx="95">
                  <c:v>251.21689516129001</c:v>
                </c:pt>
                <c:pt idx="96">
                  <c:v>117.94370967741899</c:v>
                </c:pt>
                <c:pt idx="97">
                  <c:v>128.39092261904801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0C-B840-A703-18B6A95A2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1104"/>
        <c:axId val="49002079"/>
      </c:scatterChart>
      <c:valAx>
        <c:axId val="1284110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TTF gas price (EUR/MWh, monthly mean)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9002079"/>
        <c:crosses val="autoZero"/>
        <c:crossBetween val="midCat"/>
      </c:valAx>
      <c:valAx>
        <c:axId val="490020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Baseload power price (EUR/MWh)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84110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Onshore wind capture price vs LCOE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Onshore wind capture price</c:v>
          </c:tx>
          <c:spPr>
            <a:solidFill>
              <a:srgbClr val="2E75B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Chart_Data!$C$3:$C$11</c:f>
              <c:numCache>
                <c:formatCode>General</c:formatCode>
                <c:ptCount val="9"/>
                <c:pt idx="0">
                  <c:v>26.242986080108398</c:v>
                </c:pt>
                <c:pt idx="1">
                  <c:v>24.4719585063952</c:v>
                </c:pt>
                <c:pt idx="2">
                  <c:v>27.529038305644999</c:v>
                </c:pt>
                <c:pt idx="3">
                  <c:v>37.357557109053403</c:v>
                </c:pt>
                <c:pt idx="4">
                  <c:v>32.364351879166101</c:v>
                </c:pt>
                <c:pt idx="5">
                  <c:v>24.636674076530198</c:v>
                </c:pt>
                <c:pt idx="6">
                  <c:v>80.509631627832604</c:v>
                </c:pt>
                <c:pt idx="7">
                  <c:v>168.38443581983699</c:v>
                </c:pt>
                <c:pt idx="8">
                  <c:v>96.993270246844702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1-9A4C-943D-3CC3AB22D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40189"/>
        <c:axId val="26125084"/>
      </c:barChart>
      <c:lineChart>
        <c:grouping val="standard"/>
        <c:varyColors val="0"/>
        <c:ser>
          <c:idx val="1"/>
          <c:order val="1"/>
          <c:tx>
            <c:v>LCOE low (€45/MWh)</c:v>
          </c:tx>
          <c:spPr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Chart_Data!$S$3:$S$11</c:f>
              <c:numCache>
                <c:formatCode>General</c:formatCode>
                <c:ptCount val="9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1-9A4C-943D-3CC3AB22DA2C}"/>
            </c:ext>
          </c:extLst>
        </c:ser>
        <c:ser>
          <c:idx val="2"/>
          <c:order val="2"/>
          <c:tx>
            <c:v>LCOE high (€65/MWh)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Chart_Data!$T$3:$T$11</c:f>
              <c:numCache>
                <c:formatCode>General</c:formatCode>
                <c:ptCount val="9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41-9A4C-943D-3CC3AB22D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440189"/>
        <c:axId val="26125084"/>
      </c:lineChart>
      <c:catAx>
        <c:axId val="604401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6125084"/>
        <c:crosses val="autoZero"/>
        <c:auto val="1"/>
        <c:lblAlgn val="ctr"/>
        <c:lblOffset val="100"/>
        <c:noMultiLvlLbl val="0"/>
      </c:catAx>
      <c:valAx>
        <c:axId val="261250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EUR/MWh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04401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Capture rate vs installed onshore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Year</c:v>
          </c:tx>
          <c:spPr>
            <a:ln w="12600">
              <a:noFill/>
            </a:ln>
          </c:spPr>
          <c:marker>
            <c:symbol val="circle"/>
            <c:size val="10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Chart_Data!$M$3:$M$11</c:f>
              <c:numCache>
                <c:formatCode>General</c:formatCode>
                <c:ptCount val="9"/>
                <c:pt idx="0">
                  <c:v>34897.764745</c:v>
                </c:pt>
                <c:pt idx="1">
                  <c:v>34953.264745</c:v>
                </c:pt>
                <c:pt idx="2">
                  <c:v>41320.822999999997</c:v>
                </c:pt>
                <c:pt idx="3">
                  <c:v>45506.053999999996</c:v>
                </c:pt>
                <c:pt idx="4">
                  <c:v>50291.462</c:v>
                </c:pt>
                <c:pt idx="5">
                  <c:v>52681.012000000002</c:v>
                </c:pt>
                <c:pt idx="6">
                  <c:v>52681.012000000002</c:v>
                </c:pt>
                <c:pt idx="7">
                  <c:v>53732.9594</c:v>
                </c:pt>
                <c:pt idx="8">
                  <c:v>53732.9594</c:v>
                </c:pt>
              </c:numCache>
            </c:numRef>
          </c:xVal>
          <c:yVal>
            <c:numRef>
              <c:f>Chart_Data!$F$3:$F$11</c:f>
              <c:numCache>
                <c:formatCode>General</c:formatCode>
                <c:ptCount val="9"/>
                <c:pt idx="0">
                  <c:v>0.82436946402280598</c:v>
                </c:pt>
                <c:pt idx="1">
                  <c:v>0.844379889885709</c:v>
                </c:pt>
                <c:pt idx="2">
                  <c:v>0.80528328228996404</c:v>
                </c:pt>
                <c:pt idx="3">
                  <c:v>0.84000996730338096</c:v>
                </c:pt>
                <c:pt idx="4">
                  <c:v>0.859196781692534</c:v>
                </c:pt>
                <c:pt idx="5">
                  <c:v>0.80850897847856296</c:v>
                </c:pt>
                <c:pt idx="6">
                  <c:v>0.83128319841672405</c:v>
                </c:pt>
                <c:pt idx="7">
                  <c:v>0.71519092310645604</c:v>
                </c:pt>
                <c:pt idx="8">
                  <c:v>0.78709577011467402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CE-4C4D-BFDE-57561BE79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0170"/>
        <c:axId val="79065812"/>
      </c:scatterChart>
      <c:valAx>
        <c:axId val="2050017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Installed onshore wind capacity (MW, year-end)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9065812"/>
        <c:crosses val="autoZero"/>
        <c:crossBetween val="midCat"/>
      </c:valAx>
      <c:valAx>
        <c:axId val="790658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Capture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50017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Capture rate vs TTF gas price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Pre-Jul-2021 months</c:v>
          </c:tx>
          <c:spPr>
            <a:ln w="1260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Chart_Data!$L$16:$L$113</c:f>
              <c:numCache>
                <c:formatCode>General</c:formatCode>
                <c:ptCount val="98"/>
                <c:pt idx="0">
                  <c:v>19.682193548387101</c:v>
                </c:pt>
                <c:pt idx="1">
                  <c:v>22.5021428571429</c:v>
                </c:pt>
                <c:pt idx="2">
                  <c:v>21.803451612903199</c:v>
                </c:pt>
                <c:pt idx="3">
                  <c:v>22.1007</c:v>
                </c:pt>
                <c:pt idx="4">
                  <c:v>20.5320322580645</c:v>
                </c:pt>
                <c:pt idx="5">
                  <c:v>20.5216666666667</c:v>
                </c:pt>
                <c:pt idx="6">
                  <c:v>20.926612903225799</c:v>
                </c:pt>
                <c:pt idx="7">
                  <c:v>19.607258064516099</c:v>
                </c:pt>
                <c:pt idx="8">
                  <c:v>19.176666666666701</c:v>
                </c:pt>
                <c:pt idx="9">
                  <c:v>18.287903225806499</c:v>
                </c:pt>
                <c:pt idx="10">
                  <c:v>17.2</c:v>
                </c:pt>
                <c:pt idx="11">
                  <c:v>15.697580645161301</c:v>
                </c:pt>
                <c:pt idx="12">
                  <c:v>13.9588709677419</c:v>
                </c:pt>
                <c:pt idx="13">
                  <c:v>12.4008620689655</c:v>
                </c:pt>
                <c:pt idx="14">
                  <c:v>12.250806451612901</c:v>
                </c:pt>
                <c:pt idx="15">
                  <c:v>12.1191666666667</c:v>
                </c:pt>
                <c:pt idx="16">
                  <c:v>13.074999999999999</c:v>
                </c:pt>
                <c:pt idx="17">
                  <c:v>14.4125</c:v>
                </c:pt>
                <c:pt idx="18">
                  <c:v>14.2137096774194</c:v>
                </c:pt>
                <c:pt idx="19">
                  <c:v>11.851612903225799</c:v>
                </c:pt>
                <c:pt idx="20">
                  <c:v>12.244999999999999</c:v>
                </c:pt>
                <c:pt idx="21">
                  <c:v>15.9838709677419</c:v>
                </c:pt>
                <c:pt idx="22">
                  <c:v>18.072500000000002</c:v>
                </c:pt>
                <c:pt idx="23">
                  <c:v>17.815322580645201</c:v>
                </c:pt>
                <c:pt idx="24">
                  <c:v>20.139516129032302</c:v>
                </c:pt>
                <c:pt idx="25">
                  <c:v>19.637499999999999</c:v>
                </c:pt>
                <c:pt idx="26">
                  <c:v>15.883870967741901</c:v>
                </c:pt>
                <c:pt idx="27">
                  <c:v>16.122499999999999</c:v>
                </c:pt>
                <c:pt idx="28">
                  <c:v>15.6685483870968</c:v>
                </c:pt>
                <c:pt idx="29">
                  <c:v>15.085000000000001</c:v>
                </c:pt>
                <c:pt idx="30">
                  <c:v>15.0887096774194</c:v>
                </c:pt>
                <c:pt idx="31">
                  <c:v>16.033064516128999</c:v>
                </c:pt>
                <c:pt idx="32">
                  <c:v>17.149166666666702</c:v>
                </c:pt>
                <c:pt idx="33">
                  <c:v>17.1112903225807</c:v>
                </c:pt>
                <c:pt idx="34">
                  <c:v>19.563333333333301</c:v>
                </c:pt>
                <c:pt idx="35">
                  <c:v>20.8725806451613</c:v>
                </c:pt>
                <c:pt idx="36">
                  <c:v>18.724193548387099</c:v>
                </c:pt>
                <c:pt idx="37">
                  <c:v>21.777678571428599</c:v>
                </c:pt>
                <c:pt idx="38">
                  <c:v>23.940322580645201</c:v>
                </c:pt>
                <c:pt idx="39">
                  <c:v>19.739999999999998</c:v>
                </c:pt>
                <c:pt idx="40">
                  <c:v>21.6225806451613</c:v>
                </c:pt>
                <c:pt idx="41">
                  <c:v>21.837499999999999</c:v>
                </c:pt>
                <c:pt idx="42">
                  <c:v>22.219354838709702</c:v>
                </c:pt>
                <c:pt idx="43">
                  <c:v>23.908064516128999</c:v>
                </c:pt>
                <c:pt idx="44">
                  <c:v>27.686666666666699</c:v>
                </c:pt>
                <c:pt idx="45">
                  <c:v>25.568548387096801</c:v>
                </c:pt>
                <c:pt idx="46">
                  <c:v>24.628333333333298</c:v>
                </c:pt>
                <c:pt idx="47">
                  <c:v>23.766935483870999</c:v>
                </c:pt>
                <c:pt idx="48">
                  <c:v>21.574999999999999</c:v>
                </c:pt>
                <c:pt idx="49">
                  <c:v>18.045535714285698</c:v>
                </c:pt>
                <c:pt idx="50">
                  <c:v>15.7129032258065</c:v>
                </c:pt>
                <c:pt idx="51">
                  <c:v>15.1008333333333</c:v>
                </c:pt>
                <c:pt idx="52">
                  <c:v>13.35</c:v>
                </c:pt>
                <c:pt idx="53">
                  <c:v>10.588333333333299</c:v>
                </c:pt>
                <c:pt idx="54">
                  <c:v>10.996774193548401</c:v>
                </c:pt>
                <c:pt idx="55">
                  <c:v>10.056451612903199</c:v>
                </c:pt>
                <c:pt idx="56">
                  <c:v>9.5966666666666693</c:v>
                </c:pt>
                <c:pt idx="57">
                  <c:v>10.4145161290323</c:v>
                </c:pt>
                <c:pt idx="58">
                  <c:v>14.6308333333333</c:v>
                </c:pt>
                <c:pt idx="59">
                  <c:v>13.220161290322601</c:v>
                </c:pt>
                <c:pt idx="60">
                  <c:v>11.220161290322601</c:v>
                </c:pt>
                <c:pt idx="61">
                  <c:v>9.3887931034482808</c:v>
                </c:pt>
                <c:pt idx="62">
                  <c:v>8.6112903225806505</c:v>
                </c:pt>
                <c:pt idx="63">
                  <c:v>6.6133333333333297</c:v>
                </c:pt>
                <c:pt idx="64">
                  <c:v>4.5048387096774203</c:v>
                </c:pt>
                <c:pt idx="65">
                  <c:v>4.9924999999999997</c:v>
                </c:pt>
                <c:pt idx="66">
                  <c:v>4.8612903225806496</c:v>
                </c:pt>
                <c:pt idx="67">
                  <c:v>7.4346774193548404</c:v>
                </c:pt>
                <c:pt idx="68">
                  <c:v>11.1625</c:v>
                </c:pt>
                <c:pt idx="69">
                  <c:v>13.912903225806501</c:v>
                </c:pt>
                <c:pt idx="70">
                  <c:v>13.7741666666667</c:v>
                </c:pt>
                <c:pt idx="71">
                  <c:v>16.317741935483902</c:v>
                </c:pt>
                <c:pt idx="72">
                  <c:v>20.420967741935499</c:v>
                </c:pt>
                <c:pt idx="73">
                  <c:v>17.387499999999999</c:v>
                </c:pt>
                <c:pt idx="74">
                  <c:v>17.791129032258102</c:v>
                </c:pt>
                <c:pt idx="75">
                  <c:v>20.5833333333333</c:v>
                </c:pt>
                <c:pt idx="76">
                  <c:v>25.349193548387099</c:v>
                </c:pt>
                <c:pt idx="77">
                  <c:v>29.246666666666702</c:v>
                </c:pt>
              </c:numCache>
            </c:numRef>
          </c:xVal>
          <c:yVal>
            <c:numRef>
              <c:f>Chart_Data!$P$16:$P$113</c:f>
              <c:numCache>
                <c:formatCode>General</c:formatCode>
                <c:ptCount val="98"/>
                <c:pt idx="0">
                  <c:v>0.76213432184130503</c:v>
                </c:pt>
                <c:pt idx="1">
                  <c:v>0.89983290379029501</c:v>
                </c:pt>
                <c:pt idx="2">
                  <c:v>0.82745491974415297</c:v>
                </c:pt>
                <c:pt idx="3">
                  <c:v>0.90706649936835204</c:v>
                </c:pt>
                <c:pt idx="4">
                  <c:v>0.95485295746702603</c:v>
                </c:pt>
                <c:pt idx="5">
                  <c:v>0.95785609816635298</c:v>
                </c:pt>
                <c:pt idx="6">
                  <c:v>0.87822597920173495</c:v>
                </c:pt>
                <c:pt idx="7">
                  <c:v>0.96062150380075995</c:v>
                </c:pt>
                <c:pt idx="8">
                  <c:v>0.900024493596144</c:v>
                </c:pt>
                <c:pt idx="9">
                  <c:v>0.94179788899963301</c:v>
                </c:pt>
                <c:pt idx="10">
                  <c:v>0.86697317757646197</c:v>
                </c:pt>
                <c:pt idx="11">
                  <c:v>0.89696681653586297</c:v>
                </c:pt>
                <c:pt idx="12">
                  <c:v>0.85692288801607197</c:v>
                </c:pt>
                <c:pt idx="13">
                  <c:v>0.87111143714677997</c:v>
                </c:pt>
                <c:pt idx="14">
                  <c:v>0.90561992504812305</c:v>
                </c:pt>
                <c:pt idx="15">
                  <c:v>0.98165517824838</c:v>
                </c:pt>
                <c:pt idx="16">
                  <c:v>0.85575628421660899</c:v>
                </c:pt>
                <c:pt idx="17">
                  <c:v>0.99124937653645295</c:v>
                </c:pt>
                <c:pt idx="18">
                  <c:v>0.92261863560858004</c:v>
                </c:pt>
                <c:pt idx="19">
                  <c:v>0.95554490481508902</c:v>
                </c:pt>
                <c:pt idx="20">
                  <c:v>0.92644286604410697</c:v>
                </c:pt>
                <c:pt idx="21">
                  <c:v>0.93368355650706203</c:v>
                </c:pt>
                <c:pt idx="22">
                  <c:v>0.89458606420159503</c:v>
                </c:pt>
                <c:pt idx="23">
                  <c:v>0.689242951846473</c:v>
                </c:pt>
                <c:pt idx="24">
                  <c:v>0.81117124895247705</c:v>
                </c:pt>
                <c:pt idx="25">
                  <c:v>0.85728089348236003</c:v>
                </c:pt>
                <c:pt idx="26">
                  <c:v>0.93617579857739797</c:v>
                </c:pt>
                <c:pt idx="27">
                  <c:v>0.87110950896161499</c:v>
                </c:pt>
                <c:pt idx="28">
                  <c:v>0.91345324992645804</c:v>
                </c:pt>
                <c:pt idx="29">
                  <c:v>0.89433993561009295</c:v>
                </c:pt>
                <c:pt idx="30">
                  <c:v>0.93333111723039697</c:v>
                </c:pt>
                <c:pt idx="31">
                  <c:v>0.91959756689907601</c:v>
                </c:pt>
                <c:pt idx="32">
                  <c:v>0.82878947658800195</c:v>
                </c:pt>
                <c:pt idx="33">
                  <c:v>0.73899940956503096</c:v>
                </c:pt>
                <c:pt idx="34">
                  <c:v>0.79742392388066197</c:v>
                </c:pt>
                <c:pt idx="35">
                  <c:v>0.74779044170993403</c:v>
                </c:pt>
                <c:pt idx="36">
                  <c:v>0.82523170992044104</c:v>
                </c:pt>
                <c:pt idx="37">
                  <c:v>0.91229412647512298</c:v>
                </c:pt>
                <c:pt idx="38">
                  <c:v>0.843555284154618</c:v>
                </c:pt>
                <c:pt idx="39">
                  <c:v>0.93843011870088699</c:v>
                </c:pt>
                <c:pt idx="40">
                  <c:v>0.885989254116054</c:v>
                </c:pt>
                <c:pt idx="41">
                  <c:v>0.91463871386780404</c:v>
                </c:pt>
                <c:pt idx="42">
                  <c:v>0.958512107588679</c:v>
                </c:pt>
                <c:pt idx="43">
                  <c:v>0.96495910906591897</c:v>
                </c:pt>
                <c:pt idx="44">
                  <c:v>0.91220886558535896</c:v>
                </c:pt>
                <c:pt idx="45">
                  <c:v>0.86653440865863895</c:v>
                </c:pt>
                <c:pt idx="46">
                  <c:v>0.93670172385714601</c:v>
                </c:pt>
                <c:pt idx="47">
                  <c:v>0.86553259598924703</c:v>
                </c:pt>
                <c:pt idx="48">
                  <c:v>0.82044931093606399</c:v>
                </c:pt>
                <c:pt idx="49">
                  <c:v>0.90794912387145499</c:v>
                </c:pt>
                <c:pt idx="50">
                  <c:v>0.83133072048236401</c:v>
                </c:pt>
                <c:pt idx="51">
                  <c:v>0.92343924117837595</c:v>
                </c:pt>
                <c:pt idx="52">
                  <c:v>0.97175546891481102</c:v>
                </c:pt>
                <c:pt idx="53">
                  <c:v>0.82169360693753501</c:v>
                </c:pt>
                <c:pt idx="54">
                  <c:v>0.93964093116063196</c:v>
                </c:pt>
                <c:pt idx="55">
                  <c:v>0.87856218826494403</c:v>
                </c:pt>
                <c:pt idx="56">
                  <c:v>0.89161429308012097</c:v>
                </c:pt>
                <c:pt idx="57">
                  <c:v>0.90854293479316095</c:v>
                </c:pt>
                <c:pt idx="58">
                  <c:v>0.93290739087855601</c:v>
                </c:pt>
                <c:pt idx="59">
                  <c:v>0.86818396552991295</c:v>
                </c:pt>
                <c:pt idx="60">
                  <c:v>0.90659834945859297</c:v>
                </c:pt>
                <c:pt idx="61">
                  <c:v>0.83404249780221995</c:v>
                </c:pt>
                <c:pt idx="62">
                  <c:v>0.87004741505289995</c:v>
                </c:pt>
                <c:pt idx="63">
                  <c:v>0.67004220311394103</c:v>
                </c:pt>
                <c:pt idx="64">
                  <c:v>0.79168040545853102</c:v>
                </c:pt>
                <c:pt idx="65">
                  <c:v>0.89095479945738498</c:v>
                </c:pt>
                <c:pt idx="66">
                  <c:v>0.77589347126264097</c:v>
                </c:pt>
                <c:pt idx="67">
                  <c:v>0.91051243836918605</c:v>
                </c:pt>
                <c:pt idx="68">
                  <c:v>0.91535059677711705</c:v>
                </c:pt>
                <c:pt idx="69">
                  <c:v>0.931143076834827</c:v>
                </c:pt>
                <c:pt idx="70">
                  <c:v>0.851076699882647</c:v>
                </c:pt>
                <c:pt idx="71">
                  <c:v>0.82410442125570504</c:v>
                </c:pt>
                <c:pt idx="72">
                  <c:v>0.90617531837766196</c:v>
                </c:pt>
                <c:pt idx="73">
                  <c:v>0.92310431579030505</c:v>
                </c:pt>
                <c:pt idx="74">
                  <c:v>0.76671899378293695</c:v>
                </c:pt>
                <c:pt idx="75">
                  <c:v>0.863724468830804</c:v>
                </c:pt>
                <c:pt idx="76">
                  <c:v>0.84340594770562904</c:v>
                </c:pt>
                <c:pt idx="77">
                  <c:v>0.906107669439565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03-0941-A960-1EB30E945508}"/>
            </c:ext>
          </c:extLst>
        </c:ser>
        <c:ser>
          <c:idx val="1"/>
          <c:order val="1"/>
          <c:tx>
            <c:v>Post-Jul-2021 months</c:v>
          </c:tx>
          <c:spPr>
            <a:ln w="12600">
              <a:noFill/>
            </a:ln>
          </c:spPr>
          <c:marker>
            <c:symbol val="triang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Chart_Data!$M$16:$M$113</c:f>
              <c:numCache>
                <c:formatCode>General</c:formatCode>
                <c:ptCount val="98"/>
                <c:pt idx="78">
                  <c:v>36.130645161290303</c:v>
                </c:pt>
                <c:pt idx="79">
                  <c:v>44.15</c:v>
                </c:pt>
                <c:pt idx="80">
                  <c:v>63.615833333333299</c:v>
                </c:pt>
                <c:pt idx="81">
                  <c:v>85.388709677419399</c:v>
                </c:pt>
                <c:pt idx="82">
                  <c:v>81.738333333333301</c:v>
                </c:pt>
                <c:pt idx="83">
                  <c:v>109.3</c:v>
                </c:pt>
                <c:pt idx="84">
                  <c:v>83.779032258064504</c:v>
                </c:pt>
                <c:pt idx="85">
                  <c:v>80.450892857142904</c:v>
                </c:pt>
                <c:pt idx="86">
                  <c:v>126.67016129032299</c:v>
                </c:pt>
                <c:pt idx="87">
                  <c:v>102.89166666666701</c:v>
                </c:pt>
                <c:pt idx="88">
                  <c:v>89.608064516129005</c:v>
                </c:pt>
                <c:pt idx="89">
                  <c:v>105.02</c:v>
                </c:pt>
                <c:pt idx="90">
                  <c:v>169.38225806451601</c:v>
                </c:pt>
                <c:pt idx="91">
                  <c:v>226.61048387096801</c:v>
                </c:pt>
                <c:pt idx="92">
                  <c:v>185.0025</c:v>
                </c:pt>
                <c:pt idx="93">
                  <c:v>69.196774193548407</c:v>
                </c:pt>
                <c:pt idx="94">
                  <c:v>95.253333333333302</c:v>
                </c:pt>
                <c:pt idx="95">
                  <c:v>114.88225806451599</c:v>
                </c:pt>
                <c:pt idx="96">
                  <c:v>63.3774193548387</c:v>
                </c:pt>
                <c:pt idx="97">
                  <c:v>53.532142857142901</c:v>
                </c:pt>
              </c:numCache>
            </c:numRef>
          </c:xVal>
          <c:yVal>
            <c:numRef>
              <c:f>Chart_Data!$Q$16:$Q$113</c:f>
              <c:numCache>
                <c:formatCode>General</c:formatCode>
                <c:ptCount val="98"/>
                <c:pt idx="78">
                  <c:v>0.88424242233970496</c:v>
                </c:pt>
                <c:pt idx="79">
                  <c:v>0.91459639193446496</c:v>
                </c:pt>
                <c:pt idx="80">
                  <c:v>0.94848480842623895</c:v>
                </c:pt>
                <c:pt idx="81">
                  <c:v>0.83598631803063495</c:v>
                </c:pt>
                <c:pt idx="82">
                  <c:v>0.84723344480149598</c:v>
                </c:pt>
                <c:pt idx="83">
                  <c:v>0.79268829709935196</c:v>
                </c:pt>
                <c:pt idx="84">
                  <c:v>0.82580823010856996</c:v>
                </c:pt>
                <c:pt idx="85">
                  <c:v>0.888320336136039</c:v>
                </c:pt>
                <c:pt idx="86">
                  <c:v>0.82417612790361305</c:v>
                </c:pt>
                <c:pt idx="87">
                  <c:v>0.815889967476643</c:v>
                </c:pt>
                <c:pt idx="88">
                  <c:v>0.82972144835620298</c:v>
                </c:pt>
                <c:pt idx="89">
                  <c:v>0.94143602841195895</c:v>
                </c:pt>
                <c:pt idx="90">
                  <c:v>0.93205010456114701</c:v>
                </c:pt>
                <c:pt idx="91">
                  <c:v>0.99810291394944795</c:v>
                </c:pt>
                <c:pt idx="92">
                  <c:v>0.85190123540761797</c:v>
                </c:pt>
                <c:pt idx="93">
                  <c:v>0.88559770560994</c:v>
                </c:pt>
                <c:pt idx="94">
                  <c:v>0.82509023807290505</c:v>
                </c:pt>
                <c:pt idx="95">
                  <c:v>0.62096803490886199</c:v>
                </c:pt>
                <c:pt idx="96">
                  <c:v>0.78768865786061903</c:v>
                </c:pt>
                <c:pt idx="97">
                  <c:v>0.854778935582448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03-0941-A960-1EB30E94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32116"/>
        <c:axId val="87569800"/>
      </c:scatterChart>
      <c:valAx>
        <c:axId val="9423211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TTF gas price (EUR/MWh, monthly mean)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7569800"/>
        <c:crosses val="autoZero"/>
        <c:crossBetween val="midCat"/>
      </c:valAx>
      <c:valAx>
        <c:axId val="875698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Capture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23211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timeline — baseload, capture, TTF, EUA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Baseload (€/MWh)</c:v>
          </c:tx>
          <c:spPr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Chart_Data!$A$16:$A$113</c:f>
              <c:strCache>
                <c:ptCount val="9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</c:strCache>
            </c:strRef>
          </c:cat>
          <c:val>
            <c:numRef>
              <c:f>Chart_Data!$D$16:$D$113</c:f>
              <c:numCache>
                <c:formatCode>General</c:formatCode>
                <c:ptCount val="98"/>
                <c:pt idx="0">
                  <c:v>27.773185483871</c:v>
                </c:pt>
                <c:pt idx="1">
                  <c:v>36.694181547619102</c:v>
                </c:pt>
                <c:pt idx="2">
                  <c:v>31.2978360215054</c:v>
                </c:pt>
                <c:pt idx="3">
                  <c:v>29.778597222222199</c:v>
                </c:pt>
                <c:pt idx="4">
                  <c:v>25.330389784946199</c:v>
                </c:pt>
                <c:pt idx="5">
                  <c:v>30.109736111111101</c:v>
                </c:pt>
                <c:pt idx="6">
                  <c:v>34.9796774193548</c:v>
                </c:pt>
                <c:pt idx="7">
                  <c:v>31.613400537634401</c:v>
                </c:pt>
                <c:pt idx="8">
                  <c:v>31.8886111111111</c:v>
                </c:pt>
                <c:pt idx="9">
                  <c:v>39.3688978494624</c:v>
                </c:pt>
                <c:pt idx="10">
                  <c:v>32.381680555555597</c:v>
                </c:pt>
                <c:pt idx="11">
                  <c:v>27.785564516129</c:v>
                </c:pt>
                <c:pt idx="12">
                  <c:v>29.025376344085998</c:v>
                </c:pt>
                <c:pt idx="13">
                  <c:v>21.9984195402299</c:v>
                </c:pt>
                <c:pt idx="14">
                  <c:v>24.299059139785001</c:v>
                </c:pt>
                <c:pt idx="15">
                  <c:v>24.210125000000001</c:v>
                </c:pt>
                <c:pt idx="16">
                  <c:v>22.550860215053799</c:v>
                </c:pt>
                <c:pt idx="17">
                  <c:v>27.704638888888901</c:v>
                </c:pt>
                <c:pt idx="18">
                  <c:v>27.181115591397901</c:v>
                </c:pt>
                <c:pt idx="19">
                  <c:v>27.1817204301075</c:v>
                </c:pt>
                <c:pt idx="20">
                  <c:v>30.510763888888899</c:v>
                </c:pt>
                <c:pt idx="21">
                  <c:v>37.141760752688199</c:v>
                </c:pt>
                <c:pt idx="22">
                  <c:v>38.213486111111102</c:v>
                </c:pt>
                <c:pt idx="23">
                  <c:v>37.470053763440902</c:v>
                </c:pt>
                <c:pt idx="24">
                  <c:v>52.405147849462402</c:v>
                </c:pt>
                <c:pt idx="25">
                  <c:v>39.680982142857097</c:v>
                </c:pt>
                <c:pt idx="26">
                  <c:v>31.691169354838699</c:v>
                </c:pt>
                <c:pt idx="27">
                  <c:v>28.721180555555598</c:v>
                </c:pt>
                <c:pt idx="28">
                  <c:v>30.610107526881698</c:v>
                </c:pt>
                <c:pt idx="29">
                  <c:v>30.0041805555556</c:v>
                </c:pt>
                <c:pt idx="30">
                  <c:v>33.005577956989299</c:v>
                </c:pt>
                <c:pt idx="31">
                  <c:v>30.8558870967742</c:v>
                </c:pt>
                <c:pt idx="32">
                  <c:v>34.298097222222196</c:v>
                </c:pt>
                <c:pt idx="33">
                  <c:v>28.288655913978499</c:v>
                </c:pt>
                <c:pt idx="34">
                  <c:v>40.378999999999998</c:v>
                </c:pt>
                <c:pt idx="35">
                  <c:v>30.710497311828</c:v>
                </c:pt>
                <c:pt idx="36">
                  <c:v>29.500860215053802</c:v>
                </c:pt>
                <c:pt idx="37">
                  <c:v>40.122767857142897</c:v>
                </c:pt>
                <c:pt idx="38">
                  <c:v>37.3593817204301</c:v>
                </c:pt>
                <c:pt idx="39">
                  <c:v>31.960750000000001</c:v>
                </c:pt>
                <c:pt idx="40">
                  <c:v>33.658548387096801</c:v>
                </c:pt>
                <c:pt idx="41">
                  <c:v>42.393361111111098</c:v>
                </c:pt>
                <c:pt idx="42">
                  <c:v>49.589704301075301</c:v>
                </c:pt>
                <c:pt idx="43">
                  <c:v>56.215537634408598</c:v>
                </c:pt>
                <c:pt idx="44">
                  <c:v>54.835000000000001</c:v>
                </c:pt>
                <c:pt idx="45">
                  <c:v>53.082123655914003</c:v>
                </c:pt>
                <c:pt idx="46">
                  <c:v>56.680833333333297</c:v>
                </c:pt>
                <c:pt idx="47">
                  <c:v>48.110604838709698</c:v>
                </c:pt>
                <c:pt idx="48">
                  <c:v>49.413844086021498</c:v>
                </c:pt>
                <c:pt idx="49">
                  <c:v>42.814613095238101</c:v>
                </c:pt>
                <c:pt idx="50">
                  <c:v>30.614852150537601</c:v>
                </c:pt>
                <c:pt idx="51">
                  <c:v>36.972819444444497</c:v>
                </c:pt>
                <c:pt idx="52">
                  <c:v>37.832083333333301</c:v>
                </c:pt>
                <c:pt idx="53">
                  <c:v>32.504458333333297</c:v>
                </c:pt>
                <c:pt idx="54">
                  <c:v>39.713064516129002</c:v>
                </c:pt>
                <c:pt idx="55">
                  <c:v>36.818696236559099</c:v>
                </c:pt>
                <c:pt idx="56">
                  <c:v>35.765666666666696</c:v>
                </c:pt>
                <c:pt idx="57">
                  <c:v>36.9475403225807</c:v>
                </c:pt>
                <c:pt idx="58">
                  <c:v>41.004833333333302</c:v>
                </c:pt>
                <c:pt idx="59">
                  <c:v>31.970618279569901</c:v>
                </c:pt>
                <c:pt idx="60">
                  <c:v>34.978709677419403</c:v>
                </c:pt>
                <c:pt idx="61">
                  <c:v>21.911839080459799</c:v>
                </c:pt>
                <c:pt idx="62">
                  <c:v>22.519314516129</c:v>
                </c:pt>
                <c:pt idx="63">
                  <c:v>17.049194444444499</c:v>
                </c:pt>
                <c:pt idx="64">
                  <c:v>17.604879032258101</c:v>
                </c:pt>
                <c:pt idx="65">
                  <c:v>26.2291666666667</c:v>
                </c:pt>
                <c:pt idx="66">
                  <c:v>30.0749462365591</c:v>
                </c:pt>
                <c:pt idx="67">
                  <c:v>34.889704301075298</c:v>
                </c:pt>
                <c:pt idx="68">
                  <c:v>43.678097222222199</c:v>
                </c:pt>
                <c:pt idx="69">
                  <c:v>33.955900537634399</c:v>
                </c:pt>
                <c:pt idx="70">
                  <c:v>38.796513888888903</c:v>
                </c:pt>
                <c:pt idx="71">
                  <c:v>43.545053763440897</c:v>
                </c:pt>
                <c:pt idx="72">
                  <c:v>52.7931989247312</c:v>
                </c:pt>
                <c:pt idx="73">
                  <c:v>48.706904761904802</c:v>
                </c:pt>
                <c:pt idx="74">
                  <c:v>47.181680107526901</c:v>
                </c:pt>
                <c:pt idx="75">
                  <c:v>53.657152777777803</c:v>
                </c:pt>
                <c:pt idx="76">
                  <c:v>53.331505376344097</c:v>
                </c:pt>
                <c:pt idx="77">
                  <c:v>74.130722222222204</c:v>
                </c:pt>
                <c:pt idx="78">
                  <c:v>81.294892473118296</c:v>
                </c:pt>
                <c:pt idx="79">
                  <c:v>82.811854838709706</c:v>
                </c:pt>
                <c:pt idx="80">
                  <c:v>128.33577777777799</c:v>
                </c:pt>
                <c:pt idx="81">
                  <c:v>139.54338709677401</c:v>
                </c:pt>
                <c:pt idx="82">
                  <c:v>176.24584722222201</c:v>
                </c:pt>
                <c:pt idx="83">
                  <c:v>220.956626344086</c:v>
                </c:pt>
                <c:pt idx="84">
                  <c:v>167.87455645161299</c:v>
                </c:pt>
                <c:pt idx="85">
                  <c:v>128.77741071428599</c:v>
                </c:pt>
                <c:pt idx="86">
                  <c:v>251.759784946237</c:v>
                </c:pt>
                <c:pt idx="87">
                  <c:v>166.00181944444401</c:v>
                </c:pt>
                <c:pt idx="88">
                  <c:v>177.506182795699</c:v>
                </c:pt>
                <c:pt idx="89">
                  <c:v>218.182013888889</c:v>
                </c:pt>
                <c:pt idx="90">
                  <c:v>315.26248655913997</c:v>
                </c:pt>
                <c:pt idx="91">
                  <c:v>465.51416666666699</c:v>
                </c:pt>
                <c:pt idx="92">
                  <c:v>344.93855555555598</c:v>
                </c:pt>
                <c:pt idx="93">
                  <c:v>152.74534946236599</c:v>
                </c:pt>
                <c:pt idx="94">
                  <c:v>173.928</c:v>
                </c:pt>
                <c:pt idx="95">
                  <c:v>251.21689516129001</c:v>
                </c:pt>
                <c:pt idx="96">
                  <c:v>117.94370967741899</c:v>
                </c:pt>
                <c:pt idx="97">
                  <c:v>128.39092261904801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42-7142-BE6D-75FEA64CF721}"/>
            </c:ext>
          </c:extLst>
        </c:ser>
        <c:ser>
          <c:idx val="1"/>
          <c:order val="1"/>
          <c:tx>
            <c:v>Onshore capture (€/MWh)</c:v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Chart_Data!$A$16:$A$113</c:f>
              <c:strCache>
                <c:ptCount val="9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</c:strCache>
            </c:strRef>
          </c:cat>
          <c:val>
            <c:numRef>
              <c:f>Chart_Data!$E$16:$E$113</c:f>
              <c:numCache>
                <c:formatCode>General</c:formatCode>
                <c:ptCount val="98"/>
                <c:pt idx="0">
                  <c:v>21.1668978841228</c:v>
                </c:pt>
                <c:pt idx="1">
                  <c:v>33.018631934202297</c:v>
                </c:pt>
                <c:pt idx="2">
                  <c:v>25.897548393340401</c:v>
                </c:pt>
                <c:pt idx="3">
                  <c:v>27.011167938461199</c:v>
                </c:pt>
                <c:pt idx="4">
                  <c:v>24.186797599948498</c:v>
                </c:pt>
                <c:pt idx="5">
                  <c:v>28.8407943482074</c:v>
                </c:pt>
                <c:pt idx="6">
                  <c:v>30.720061453773699</c:v>
                </c:pt>
                <c:pt idx="7">
                  <c:v>30.3685123647181</c:v>
                </c:pt>
                <c:pt idx="8">
                  <c:v>28.700531066762199</c:v>
                </c:pt>
                <c:pt idx="9">
                  <c:v>37.077544886865802</c:v>
                </c:pt>
                <c:pt idx="10">
                  <c:v>28.074048486515899</c:v>
                </c:pt>
                <c:pt idx="11">
                  <c:v>24.922729349684101</c:v>
                </c:pt>
                <c:pt idx="12">
                  <c:v>24.872509322527598</c:v>
                </c:pt>
                <c:pt idx="13">
                  <c:v>19.163074860647502</c:v>
                </c:pt>
                <c:pt idx="14">
                  <c:v>22.005712116911901</c:v>
                </c:pt>
                <c:pt idx="15">
                  <c:v>23.765994572290602</c:v>
                </c:pt>
                <c:pt idx="16">
                  <c:v>19.298040343522601</c:v>
                </c:pt>
                <c:pt idx="17">
                  <c:v>27.462206025778698</c:v>
                </c:pt>
                <c:pt idx="18">
                  <c:v>25.077803781254602</c:v>
                </c:pt>
                <c:pt idx="19">
                  <c:v>25.9733544610975</c:v>
                </c:pt>
                <c:pt idx="20">
                  <c:v>28.266479542417301</c:v>
                </c:pt>
                <c:pt idx="21">
                  <c:v>34.678651274504297</c:v>
                </c:pt>
                <c:pt idx="22">
                  <c:v>34.1852521395612</c:v>
                </c:pt>
                <c:pt idx="23">
                  <c:v>25.825970461760001</c:v>
                </c:pt>
                <c:pt idx="24">
                  <c:v>42.509549232587602</c:v>
                </c:pt>
                <c:pt idx="25">
                  <c:v>34.017747825686101</c:v>
                </c:pt>
                <c:pt idx="26">
                  <c:v>29.6685057786177</c:v>
                </c:pt>
                <c:pt idx="27">
                  <c:v>25.019293490547899</c:v>
                </c:pt>
                <c:pt idx="28">
                  <c:v>27.9609022010285</c:v>
                </c:pt>
                <c:pt idx="29">
                  <c:v>26.8339369060892</c:v>
                </c:pt>
                <c:pt idx="30">
                  <c:v>30.805132949431702</c:v>
                </c:pt>
                <c:pt idx="31">
                  <c:v>28.374998698706101</c:v>
                </c:pt>
                <c:pt idx="32">
                  <c:v>28.425902044769899</c:v>
                </c:pt>
                <c:pt idx="33">
                  <c:v>20.905300017818401</c:v>
                </c:pt>
                <c:pt idx="34">
                  <c:v>32.199180622377199</c:v>
                </c:pt>
                <c:pt idx="35">
                  <c:v>22.9650163499436</c:v>
                </c:pt>
                <c:pt idx="36">
                  <c:v>24.3450453193927</c:v>
                </c:pt>
                <c:pt idx="37">
                  <c:v>36.603765453996303</c:v>
                </c:pt>
                <c:pt idx="38">
                  <c:v>31.514703863018301</c:v>
                </c:pt>
                <c:pt idx="39">
                  <c:v>29.992930416269399</c:v>
                </c:pt>
                <c:pt idx="40">
                  <c:v>29.821112180113001</c:v>
                </c:pt>
                <c:pt idx="41">
                  <c:v>38.7746092832</c:v>
                </c:pt>
                <c:pt idx="42">
                  <c:v>47.532331984323001</c:v>
                </c:pt>
                <c:pt idx="43">
                  <c:v>54.245695111360597</c:v>
                </c:pt>
                <c:pt idx="44">
                  <c:v>50.020973144373201</c:v>
                </c:pt>
                <c:pt idx="45">
                  <c:v>45.997486632522197</c:v>
                </c:pt>
                <c:pt idx="46">
                  <c:v>53.093034292992897</c:v>
                </c:pt>
                <c:pt idx="47">
                  <c:v>41.641296700661201</c:v>
                </c:pt>
                <c:pt idx="48">
                  <c:v>40.541554331078402</c:v>
                </c:pt>
                <c:pt idx="49">
                  <c:v>38.873490448716801</c:v>
                </c:pt>
                <c:pt idx="50">
                  <c:v>25.451067095767499</c:v>
                </c:pt>
                <c:pt idx="51">
                  <c:v>34.142152332002901</c:v>
                </c:pt>
                <c:pt idx="52">
                  <c:v>36.7635338796075</c:v>
                </c:pt>
                <c:pt idx="53">
                  <c:v>26.708705609467501</c:v>
                </c:pt>
                <c:pt idx="54">
                  <c:v>37.316020921177802</c:v>
                </c:pt>
                <c:pt idx="55">
                  <c:v>32.347514334653702</c:v>
                </c:pt>
                <c:pt idx="56">
                  <c:v>31.889179601539301</c:v>
                </c:pt>
                <c:pt idx="57">
                  <c:v>33.5684267180661</c:v>
                </c:pt>
                <c:pt idx="58">
                  <c:v>38.253712078409997</c:v>
                </c:pt>
                <c:pt idx="59">
                  <c:v>27.7563781584001</c:v>
                </c:pt>
                <c:pt idx="60">
                  <c:v>31.711640459739701</c:v>
                </c:pt>
                <c:pt idx="61">
                  <c:v>18.275404998107</c:v>
                </c:pt>
                <c:pt idx="62">
                  <c:v>19.592871383521299</c:v>
                </c:pt>
                <c:pt idx="63">
                  <c:v>11.423679806873499</c:v>
                </c:pt>
                <c:pt idx="64">
                  <c:v>13.9374377703065</c:v>
                </c:pt>
                <c:pt idx="65">
                  <c:v>23.369001927434301</c:v>
                </c:pt>
                <c:pt idx="66">
                  <c:v>23.334954433521201</c:v>
                </c:pt>
                <c:pt idx="67">
                  <c:v>31.767509737151901</c:v>
                </c:pt>
                <c:pt idx="68">
                  <c:v>39.980772358449997</c:v>
                </c:pt>
                <c:pt idx="69">
                  <c:v>31.617801703310299</c:v>
                </c:pt>
                <c:pt idx="70">
                  <c:v>33.018809007506903</c:v>
                </c:pt>
                <c:pt idx="71">
                  <c:v>35.885671330268998</c:v>
                </c:pt>
                <c:pt idx="72">
                  <c:v>47.839893843793497</c:v>
                </c:pt>
                <c:pt idx="73">
                  <c:v>44.961553994501699</c:v>
                </c:pt>
                <c:pt idx="74">
                  <c:v>36.175090297031403</c:v>
                </c:pt>
                <c:pt idx="75">
                  <c:v>46.344995781959398</c:v>
                </c:pt>
                <c:pt idx="76">
                  <c:v>44.980108834503298</c:v>
                </c:pt>
                <c:pt idx="77">
                  <c:v>67.170415946649499</c:v>
                </c:pt>
                <c:pt idx="78">
                  <c:v>71.884392644276005</c:v>
                </c:pt>
                <c:pt idx="79">
                  <c:v>75.739423644884596</c:v>
                </c:pt>
                <c:pt idx="80">
                  <c:v>121.724535599788</c:v>
                </c:pt>
                <c:pt idx="81">
                  <c:v>116.656362384556</c:v>
                </c:pt>
                <c:pt idx="82">
                  <c:v>149.321376274042</c:v>
                </c:pt>
                <c:pt idx="83">
                  <c:v>175.14973186951099</c:v>
                </c:pt>
                <c:pt idx="84">
                  <c:v>138.632190343568</c:v>
                </c:pt>
                <c:pt idx="85">
                  <c:v>114.395592772443</c:v>
                </c:pt>
                <c:pt idx="86">
                  <c:v>207.49440471883599</c:v>
                </c:pt>
                <c:pt idx="87">
                  <c:v>135.43921906759101</c:v>
                </c:pt>
                <c:pt idx="88">
                  <c:v>147.280687081428</c:v>
                </c:pt>
                <c:pt idx="89">
                  <c:v>205.40440862647799</c:v>
                </c:pt>
                <c:pt idx="90">
                  <c:v>293.84043356165301</c:v>
                </c:pt>
                <c:pt idx="91">
                  <c:v>464.63104623474902</c:v>
                </c:pt>
                <c:pt idx="92">
                  <c:v>293.85358161749701</c:v>
                </c:pt>
                <c:pt idx="93">
                  <c:v>135.27093102646</c:v>
                </c:pt>
                <c:pt idx="94">
                  <c:v>143.50629492754399</c:v>
                </c:pt>
                <c:pt idx="95">
                  <c:v>155.99766172421201</c:v>
                </c:pt>
                <c:pt idx="96">
                  <c:v>92.902922378908897</c:v>
                </c:pt>
                <c:pt idx="97">
                  <c:v>109.745856174758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42-7142-BE6D-75FEA64CF721}"/>
            </c:ext>
          </c:extLst>
        </c:ser>
        <c:ser>
          <c:idx val="2"/>
          <c:order val="2"/>
          <c:tx>
            <c:v>TTF gas (€/MWh)</c:v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Chart_Data!$A$16:$A$113</c:f>
              <c:strCache>
                <c:ptCount val="9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</c:strCache>
            </c:strRef>
          </c:cat>
          <c:val>
            <c:numRef>
              <c:f>Chart_Data!$G$16:$G$113</c:f>
              <c:numCache>
                <c:formatCode>General</c:formatCode>
                <c:ptCount val="98"/>
                <c:pt idx="0">
                  <c:v>19.682193548387101</c:v>
                </c:pt>
                <c:pt idx="1">
                  <c:v>22.5021428571429</c:v>
                </c:pt>
                <c:pt idx="2">
                  <c:v>21.803451612903199</c:v>
                </c:pt>
                <c:pt idx="3">
                  <c:v>22.1007</c:v>
                </c:pt>
                <c:pt idx="4">
                  <c:v>20.5320322580645</c:v>
                </c:pt>
                <c:pt idx="5">
                  <c:v>20.5216666666667</c:v>
                </c:pt>
                <c:pt idx="6">
                  <c:v>20.926612903225799</c:v>
                </c:pt>
                <c:pt idx="7">
                  <c:v>19.607258064516099</c:v>
                </c:pt>
                <c:pt idx="8">
                  <c:v>19.176666666666701</c:v>
                </c:pt>
                <c:pt idx="9">
                  <c:v>18.287903225806499</c:v>
                </c:pt>
                <c:pt idx="10">
                  <c:v>17.2</c:v>
                </c:pt>
                <c:pt idx="11">
                  <c:v>15.697580645161301</c:v>
                </c:pt>
                <c:pt idx="12">
                  <c:v>13.9588709677419</c:v>
                </c:pt>
                <c:pt idx="13">
                  <c:v>12.4008620689655</c:v>
                </c:pt>
                <c:pt idx="14">
                  <c:v>12.250806451612901</c:v>
                </c:pt>
                <c:pt idx="15">
                  <c:v>12.1191666666667</c:v>
                </c:pt>
                <c:pt idx="16">
                  <c:v>13.074999999999999</c:v>
                </c:pt>
                <c:pt idx="17">
                  <c:v>14.4125</c:v>
                </c:pt>
                <c:pt idx="18">
                  <c:v>14.2137096774194</c:v>
                </c:pt>
                <c:pt idx="19">
                  <c:v>11.851612903225799</c:v>
                </c:pt>
                <c:pt idx="20">
                  <c:v>12.244999999999999</c:v>
                </c:pt>
                <c:pt idx="21">
                  <c:v>15.9838709677419</c:v>
                </c:pt>
                <c:pt idx="22">
                  <c:v>18.072500000000002</c:v>
                </c:pt>
                <c:pt idx="23">
                  <c:v>17.815322580645201</c:v>
                </c:pt>
                <c:pt idx="24">
                  <c:v>20.139516129032302</c:v>
                </c:pt>
                <c:pt idx="25">
                  <c:v>19.637499999999999</c:v>
                </c:pt>
                <c:pt idx="26">
                  <c:v>15.883870967741901</c:v>
                </c:pt>
                <c:pt idx="27">
                  <c:v>16.122499999999999</c:v>
                </c:pt>
                <c:pt idx="28">
                  <c:v>15.6685483870968</c:v>
                </c:pt>
                <c:pt idx="29">
                  <c:v>15.085000000000001</c:v>
                </c:pt>
                <c:pt idx="30">
                  <c:v>15.0887096774194</c:v>
                </c:pt>
                <c:pt idx="31">
                  <c:v>16.033064516128999</c:v>
                </c:pt>
                <c:pt idx="32">
                  <c:v>17.149166666666702</c:v>
                </c:pt>
                <c:pt idx="33">
                  <c:v>17.1112903225807</c:v>
                </c:pt>
                <c:pt idx="34">
                  <c:v>19.563333333333301</c:v>
                </c:pt>
                <c:pt idx="35">
                  <c:v>20.8725806451613</c:v>
                </c:pt>
                <c:pt idx="36">
                  <c:v>18.724193548387099</c:v>
                </c:pt>
                <c:pt idx="37">
                  <c:v>21.777678571428599</c:v>
                </c:pt>
                <c:pt idx="38">
                  <c:v>23.940322580645201</c:v>
                </c:pt>
                <c:pt idx="39">
                  <c:v>19.739999999999998</c:v>
                </c:pt>
                <c:pt idx="40">
                  <c:v>21.6225806451613</c:v>
                </c:pt>
                <c:pt idx="41">
                  <c:v>21.837499999999999</c:v>
                </c:pt>
                <c:pt idx="42">
                  <c:v>22.219354838709702</c:v>
                </c:pt>
                <c:pt idx="43">
                  <c:v>23.908064516128999</c:v>
                </c:pt>
                <c:pt idx="44">
                  <c:v>27.686666666666699</c:v>
                </c:pt>
                <c:pt idx="45">
                  <c:v>25.568548387096801</c:v>
                </c:pt>
                <c:pt idx="46">
                  <c:v>24.628333333333298</c:v>
                </c:pt>
                <c:pt idx="47">
                  <c:v>23.766935483870999</c:v>
                </c:pt>
                <c:pt idx="48">
                  <c:v>21.574999999999999</c:v>
                </c:pt>
                <c:pt idx="49">
                  <c:v>18.045535714285698</c:v>
                </c:pt>
                <c:pt idx="50">
                  <c:v>15.7129032258065</c:v>
                </c:pt>
                <c:pt idx="51">
                  <c:v>15.1008333333333</c:v>
                </c:pt>
                <c:pt idx="52">
                  <c:v>13.35</c:v>
                </c:pt>
                <c:pt idx="53">
                  <c:v>10.588333333333299</c:v>
                </c:pt>
                <c:pt idx="54">
                  <c:v>10.996774193548401</c:v>
                </c:pt>
                <c:pt idx="55">
                  <c:v>10.056451612903199</c:v>
                </c:pt>
                <c:pt idx="56">
                  <c:v>9.5966666666666693</c:v>
                </c:pt>
                <c:pt idx="57">
                  <c:v>10.4145161290323</c:v>
                </c:pt>
                <c:pt idx="58">
                  <c:v>14.6308333333333</c:v>
                </c:pt>
                <c:pt idx="59">
                  <c:v>13.220161290322601</c:v>
                </c:pt>
                <c:pt idx="60">
                  <c:v>11.220161290322601</c:v>
                </c:pt>
                <c:pt idx="61">
                  <c:v>9.3887931034482808</c:v>
                </c:pt>
                <c:pt idx="62">
                  <c:v>8.6112903225806505</c:v>
                </c:pt>
                <c:pt idx="63">
                  <c:v>6.6133333333333297</c:v>
                </c:pt>
                <c:pt idx="64">
                  <c:v>4.5048387096774203</c:v>
                </c:pt>
                <c:pt idx="65">
                  <c:v>4.9924999999999997</c:v>
                </c:pt>
                <c:pt idx="66">
                  <c:v>4.8612903225806496</c:v>
                </c:pt>
                <c:pt idx="67">
                  <c:v>7.4346774193548404</c:v>
                </c:pt>
                <c:pt idx="68">
                  <c:v>11.1625</c:v>
                </c:pt>
                <c:pt idx="69">
                  <c:v>13.912903225806501</c:v>
                </c:pt>
                <c:pt idx="70">
                  <c:v>13.7741666666667</c:v>
                </c:pt>
                <c:pt idx="71">
                  <c:v>16.317741935483902</c:v>
                </c:pt>
                <c:pt idx="72">
                  <c:v>20.420967741935499</c:v>
                </c:pt>
                <c:pt idx="73">
                  <c:v>17.387499999999999</c:v>
                </c:pt>
                <c:pt idx="74">
                  <c:v>17.791129032258102</c:v>
                </c:pt>
                <c:pt idx="75">
                  <c:v>20.5833333333333</c:v>
                </c:pt>
                <c:pt idx="76">
                  <c:v>25.349193548387099</c:v>
                </c:pt>
                <c:pt idx="77">
                  <c:v>29.246666666666702</c:v>
                </c:pt>
                <c:pt idx="78">
                  <c:v>36.130645161290303</c:v>
                </c:pt>
                <c:pt idx="79">
                  <c:v>44.15</c:v>
                </c:pt>
                <c:pt idx="80">
                  <c:v>63.615833333333299</c:v>
                </c:pt>
                <c:pt idx="81">
                  <c:v>85.388709677419399</c:v>
                </c:pt>
                <c:pt idx="82">
                  <c:v>81.738333333333301</c:v>
                </c:pt>
                <c:pt idx="83">
                  <c:v>109.3</c:v>
                </c:pt>
                <c:pt idx="84">
                  <c:v>83.779032258064504</c:v>
                </c:pt>
                <c:pt idx="85">
                  <c:v>80.450892857142904</c:v>
                </c:pt>
                <c:pt idx="86">
                  <c:v>126.67016129032299</c:v>
                </c:pt>
                <c:pt idx="87">
                  <c:v>102.89166666666701</c:v>
                </c:pt>
                <c:pt idx="88">
                  <c:v>89.608064516129005</c:v>
                </c:pt>
                <c:pt idx="89">
                  <c:v>105.02</c:v>
                </c:pt>
                <c:pt idx="90">
                  <c:v>169.38225806451601</c:v>
                </c:pt>
                <c:pt idx="91">
                  <c:v>226.61048387096801</c:v>
                </c:pt>
                <c:pt idx="92">
                  <c:v>185.0025</c:v>
                </c:pt>
                <c:pt idx="93">
                  <c:v>69.196774193548407</c:v>
                </c:pt>
                <c:pt idx="94">
                  <c:v>95.253333333333302</c:v>
                </c:pt>
                <c:pt idx="95">
                  <c:v>114.88225806451599</c:v>
                </c:pt>
                <c:pt idx="96">
                  <c:v>63.3774193548387</c:v>
                </c:pt>
                <c:pt idx="97">
                  <c:v>53.532142857142901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742-7142-BE6D-75FEA64CF721}"/>
            </c:ext>
          </c:extLst>
        </c:ser>
        <c:ser>
          <c:idx val="3"/>
          <c:order val="3"/>
          <c:tx>
            <c:v>EUA (€/t CO₂)</c:v>
          </c:tx>
          <c:spPr>
            <a:ln w="219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Chart_Data!$A$16:$A$113</c:f>
              <c:strCache>
                <c:ptCount val="9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</c:strCache>
            </c:strRef>
          </c:cat>
          <c:val>
            <c:numRef>
              <c:f>Chart_Data!$H$16:$H$113</c:f>
              <c:numCache>
                <c:formatCode>General</c:formatCode>
                <c:ptCount val="98"/>
                <c:pt idx="25">
                  <c:v>5.5778571428571402</c:v>
                </c:pt>
                <c:pt idx="26">
                  <c:v>5.5567741935483896</c:v>
                </c:pt>
                <c:pt idx="27">
                  <c:v>5.2216666666666702</c:v>
                </c:pt>
                <c:pt idx="28">
                  <c:v>5.1741935483871</c:v>
                </c:pt>
                <c:pt idx="29">
                  <c:v>5.4456666666666704</c:v>
                </c:pt>
                <c:pt idx="30">
                  <c:v>5.77935483870968</c:v>
                </c:pt>
                <c:pt idx="31">
                  <c:v>6.3251612903225798</c:v>
                </c:pt>
                <c:pt idx="32">
                  <c:v>7.3680000000000003</c:v>
                </c:pt>
                <c:pt idx="33">
                  <c:v>7.8261290322580699</c:v>
                </c:pt>
                <c:pt idx="34">
                  <c:v>8.1413333333333302</c:v>
                </c:pt>
                <c:pt idx="35">
                  <c:v>8.17</c:v>
                </c:pt>
                <c:pt idx="36">
                  <c:v>8.9483870967741908</c:v>
                </c:pt>
                <c:pt idx="37">
                  <c:v>10.2217857142857</c:v>
                </c:pt>
                <c:pt idx="38">
                  <c:v>12.4322580645161</c:v>
                </c:pt>
                <c:pt idx="39">
                  <c:v>14.597666666666701</c:v>
                </c:pt>
                <c:pt idx="40">
                  <c:v>16.216129032258099</c:v>
                </c:pt>
                <c:pt idx="41">
                  <c:v>16.930666666666699</c:v>
                </c:pt>
                <c:pt idx="42">
                  <c:v>18.411612903225802</c:v>
                </c:pt>
                <c:pt idx="43">
                  <c:v>21.42</c:v>
                </c:pt>
                <c:pt idx="44">
                  <c:v>24.770666666666699</c:v>
                </c:pt>
                <c:pt idx="45">
                  <c:v>23.9716129032258</c:v>
                </c:pt>
                <c:pt idx="46">
                  <c:v>22.2776666666667</c:v>
                </c:pt>
                <c:pt idx="47">
                  <c:v>25.871612903225799</c:v>
                </c:pt>
                <c:pt idx="48">
                  <c:v>26.159032258064499</c:v>
                </c:pt>
                <c:pt idx="49">
                  <c:v>23.258214285714299</c:v>
                </c:pt>
                <c:pt idx="50">
                  <c:v>24.054838709677401</c:v>
                </c:pt>
                <c:pt idx="51">
                  <c:v>27.687999999999999</c:v>
                </c:pt>
                <c:pt idx="52">
                  <c:v>27.02</c:v>
                </c:pt>
                <c:pt idx="53">
                  <c:v>26.753333333333298</c:v>
                </c:pt>
                <c:pt idx="54">
                  <c:v>29.954193548387099</c:v>
                </c:pt>
                <c:pt idx="55">
                  <c:v>28.7293548387097</c:v>
                </c:pt>
                <c:pt idx="56">
                  <c:v>27.2216666666667</c:v>
                </c:pt>
                <c:pt idx="57">
                  <c:v>25.996774193548401</c:v>
                </c:pt>
                <c:pt idx="58">
                  <c:v>25.687999999999999</c:v>
                </c:pt>
                <c:pt idx="59">
                  <c:v>26.423548387096801</c:v>
                </c:pt>
                <c:pt idx="60">
                  <c:v>25.411290322580601</c:v>
                </c:pt>
                <c:pt idx="61">
                  <c:v>24.919310344827601</c:v>
                </c:pt>
                <c:pt idx="62">
                  <c:v>20.843548387096799</c:v>
                </c:pt>
                <c:pt idx="63">
                  <c:v>21.428000000000001</c:v>
                </c:pt>
                <c:pt idx="64">
                  <c:v>21.247741935483901</c:v>
                </c:pt>
                <c:pt idx="65">
                  <c:v>24.713000000000001</c:v>
                </c:pt>
                <c:pt idx="66">
                  <c:v>28.9835483870968</c:v>
                </c:pt>
                <c:pt idx="67">
                  <c:v>28.312258064516101</c:v>
                </c:pt>
                <c:pt idx="68">
                  <c:v>28.904</c:v>
                </c:pt>
                <c:pt idx="69">
                  <c:v>26.218387096774201</c:v>
                </c:pt>
                <c:pt idx="70">
                  <c:v>27.269666666666701</c:v>
                </c:pt>
                <c:pt idx="71">
                  <c:v>31.739354838709701</c:v>
                </c:pt>
                <c:pt idx="72">
                  <c:v>34.000322580645197</c:v>
                </c:pt>
                <c:pt idx="73">
                  <c:v>38.700714285714298</c:v>
                </c:pt>
                <c:pt idx="74">
                  <c:v>41.889032258064503</c:v>
                </c:pt>
                <c:pt idx="75">
                  <c:v>45.874666666666698</c:v>
                </c:pt>
                <c:pt idx="76">
                  <c:v>53.521612903225801</c:v>
                </c:pt>
                <c:pt idx="77">
                  <c:v>53.905333333333303</c:v>
                </c:pt>
                <c:pt idx="78">
                  <c:v>54.5651612903226</c:v>
                </c:pt>
                <c:pt idx="79">
                  <c:v>57.485161290322601</c:v>
                </c:pt>
                <c:pt idx="80">
                  <c:v>62.2693333333333</c:v>
                </c:pt>
                <c:pt idx="81">
                  <c:v>60.533548387096801</c:v>
                </c:pt>
                <c:pt idx="82">
                  <c:v>67.275333333333293</c:v>
                </c:pt>
                <c:pt idx="83">
                  <c:v>80.642258064516099</c:v>
                </c:pt>
                <c:pt idx="84">
                  <c:v>85.382258064516094</c:v>
                </c:pt>
                <c:pt idx="85">
                  <c:v>92.740357142857206</c:v>
                </c:pt>
                <c:pt idx="86">
                  <c:v>76.359677419354796</c:v>
                </c:pt>
                <c:pt idx="87">
                  <c:v>83.551000000000002</c:v>
                </c:pt>
                <c:pt idx="88">
                  <c:v>88.733548387096803</c:v>
                </c:pt>
                <c:pt idx="89">
                  <c:v>86.987333333333297</c:v>
                </c:pt>
                <c:pt idx="90">
                  <c:v>84.322258064516106</c:v>
                </c:pt>
                <c:pt idx="91">
                  <c:v>91.144516129032297</c:v>
                </c:pt>
                <c:pt idx="92">
                  <c:v>73.379000000000005</c:v>
                </c:pt>
                <c:pt idx="93">
                  <c:v>73.403548387096805</c:v>
                </c:pt>
                <c:pt idx="94">
                  <c:v>79.312666666666701</c:v>
                </c:pt>
                <c:pt idx="95">
                  <c:v>89.320322580645197</c:v>
                </c:pt>
                <c:pt idx="96">
                  <c:v>83.023548387096795</c:v>
                </c:pt>
                <c:pt idx="97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742-7142-BE6D-75FEA64CF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648524"/>
        <c:axId val="18707307"/>
      </c:lineChart>
      <c:catAx>
        <c:axId val="96648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8707307"/>
        <c:crosses val="autoZero"/>
        <c:auto val="1"/>
        <c:lblAlgn val="ctr"/>
        <c:lblOffset val="100"/>
        <c:noMultiLvlLbl val="0"/>
      </c:catAx>
      <c:valAx>
        <c:axId val="187073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EUR/MWh (power, TTF) | EUR/t (EUA)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66485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Capture rates and negative-price hour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Onshore wind</c:v>
          </c:tx>
          <c:spPr>
            <a:ln w="320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Chart_Data!$F$3:$F$11</c:f>
              <c:numCache>
                <c:formatCode>General</c:formatCode>
                <c:ptCount val="9"/>
                <c:pt idx="0">
                  <c:v>0.82436946402280598</c:v>
                </c:pt>
                <c:pt idx="1">
                  <c:v>0.844379889885709</c:v>
                </c:pt>
                <c:pt idx="2">
                  <c:v>0.80528328228996404</c:v>
                </c:pt>
                <c:pt idx="3">
                  <c:v>0.84000996730338096</c:v>
                </c:pt>
                <c:pt idx="4">
                  <c:v>0.859196781692534</c:v>
                </c:pt>
                <c:pt idx="5">
                  <c:v>0.80850897847856296</c:v>
                </c:pt>
                <c:pt idx="6">
                  <c:v>0.83128319841672405</c:v>
                </c:pt>
                <c:pt idx="7">
                  <c:v>0.71519092310645604</c:v>
                </c:pt>
                <c:pt idx="8">
                  <c:v>0.78709577011467402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79-0C46-84C3-51FC7669CDD1}"/>
            </c:ext>
          </c:extLst>
        </c:ser>
        <c:ser>
          <c:idx val="1"/>
          <c:order val="1"/>
          <c:tx>
            <c:v>Offshore wind</c:v>
          </c:tx>
          <c:spPr>
            <a:ln w="2196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Chart_Data!$G$3:$G$11</c:f>
              <c:numCache>
                <c:formatCode>General</c:formatCode>
                <c:ptCount val="9"/>
                <c:pt idx="0">
                  <c:v>0.91811191159260697</c:v>
                </c:pt>
                <c:pt idx="1">
                  <c:v>0.91966677025991295</c:v>
                </c:pt>
                <c:pt idx="2">
                  <c:v>0.89262525229755696</c:v>
                </c:pt>
                <c:pt idx="3">
                  <c:v>0.92210000679692805</c:v>
                </c:pt>
                <c:pt idx="4">
                  <c:v>0.92645109944356097</c:v>
                </c:pt>
                <c:pt idx="5">
                  <c:v>0.91141336399880901</c:v>
                </c:pt>
                <c:pt idx="6">
                  <c:v>0.95329738250583396</c:v>
                </c:pt>
                <c:pt idx="7">
                  <c:v>0.825505320901604</c:v>
                </c:pt>
                <c:pt idx="8">
                  <c:v>0.87626868360311205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79-0C46-84C3-51FC7669CDD1}"/>
            </c:ext>
          </c:extLst>
        </c:ser>
        <c:ser>
          <c:idx val="2"/>
          <c:order val="2"/>
          <c:tx>
            <c:v>Solar PV</c:v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Chart_Data!$H$3:$H$11</c:f>
              <c:numCache>
                <c:formatCode>General</c:formatCode>
                <c:ptCount val="9"/>
                <c:pt idx="0">
                  <c:v>0.96861353130596595</c:v>
                </c:pt>
                <c:pt idx="1">
                  <c:v>0.92289818243579302</c:v>
                </c:pt>
                <c:pt idx="2">
                  <c:v>0.92513478715016695</c:v>
                </c:pt>
                <c:pt idx="3">
                  <c:v>0.98576098763640496</c:v>
                </c:pt>
                <c:pt idx="4">
                  <c:v>0.92688002652391999</c:v>
                </c:pt>
                <c:pt idx="5">
                  <c:v>0.80729582803094102</c:v>
                </c:pt>
                <c:pt idx="6">
                  <c:v>0.78009667600218702</c:v>
                </c:pt>
                <c:pt idx="7">
                  <c:v>0.94946568171057899</c:v>
                </c:pt>
                <c:pt idx="8">
                  <c:v>0.99654729244139095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B79-0C46-84C3-51FC7669CDD1}"/>
            </c:ext>
          </c:extLst>
        </c:ser>
        <c:ser>
          <c:idx val="3"/>
          <c:order val="3"/>
          <c:tx>
            <c:v>Negative-price share</c:v>
          </c:tx>
          <c:spPr>
            <a:ln w="1800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Chart_Data!$L$3:$L$11</c:f>
              <c:numCache>
                <c:formatCode>General</c:formatCode>
                <c:ptCount val="9"/>
                <c:pt idx="0">
                  <c:v>1.2694748990190401E-2</c:v>
                </c:pt>
                <c:pt idx="1">
                  <c:v>1.10428051001822E-2</c:v>
                </c:pt>
                <c:pt idx="2">
                  <c:v>1.6780821917808199E-2</c:v>
                </c:pt>
                <c:pt idx="3">
                  <c:v>1.5182648401826499E-2</c:v>
                </c:pt>
                <c:pt idx="4">
                  <c:v>2.40867579908676E-2</c:v>
                </c:pt>
                <c:pt idx="5">
                  <c:v>3.3925318761384299E-2</c:v>
                </c:pt>
                <c:pt idx="6">
                  <c:v>1.5867579908675801E-2</c:v>
                </c:pt>
                <c:pt idx="7">
                  <c:v>7.9908675799086806E-3</c:v>
                </c:pt>
                <c:pt idx="8">
                  <c:v>9.0340514246004203E-3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B79-0C46-84C3-51FC7669C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659497"/>
        <c:axId val="72227963"/>
      </c:lineChart>
      <c:catAx>
        <c:axId val="396594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227963"/>
        <c:crosses val="autoZero"/>
        <c:auto val="1"/>
        <c:lblAlgn val="ctr"/>
        <c:lblOffset val="100"/>
        <c:noMultiLvlLbl val="0"/>
      </c:catAx>
      <c:valAx>
        <c:axId val="722279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Capture rate / negative-price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6594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Implied heat rate — rolling 12m </a:t>
            </a:r>
            <a:r>
              <a:rPr lang="el-GR" sz="1800" b="1" u="none" strike="noStrike">
                <a:solidFill>
                  <a:srgbClr val="000000"/>
                </a:solidFill>
                <a:uFillTx/>
                <a:latin typeface="Calibri"/>
              </a:rPr>
              <a:t>β 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of baseload on TTF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Implied heat rate (12m)</c:v>
          </c:tx>
          <c:spPr>
            <a:ln w="320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Chart_Data!$A$16:$A$113</c:f>
              <c:strCache>
                <c:ptCount val="9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</c:strCache>
            </c:strRef>
          </c:cat>
          <c:val>
            <c:numRef>
              <c:f>Chart_Data!$R$16:$R$113</c:f>
              <c:numCache>
                <c:formatCode>General</c:formatCode>
                <c:ptCount val="98"/>
                <c:pt idx="5">
                  <c:v>2.5877220875506501</c:v>
                </c:pt>
                <c:pt idx="6">
                  <c:v>2.3852837125206601</c:v>
                </c:pt>
                <c:pt idx="7">
                  <c:v>1.6544800581702199</c:v>
                </c:pt>
                <c:pt idx="8">
                  <c:v>1.0966913079204801</c:v>
                </c:pt>
                <c:pt idx="9">
                  <c:v>-0.38589730093652702</c:v>
                </c:pt>
                <c:pt idx="10">
                  <c:v>-0.29729888380644598</c:v>
                </c:pt>
                <c:pt idx="11">
                  <c:v>0.204627235664461</c:v>
                </c:pt>
                <c:pt idx="12">
                  <c:v>0.31548458689971098</c:v>
                </c:pt>
                <c:pt idx="13">
                  <c:v>0.59420947057067897</c:v>
                </c:pt>
                <c:pt idx="14">
                  <c:v>0.73420748589669904</c:v>
                </c:pt>
                <c:pt idx="15">
                  <c:v>0.92157518177865305</c:v>
                </c:pt>
                <c:pt idx="16">
                  <c:v>1.25169383692685</c:v>
                </c:pt>
                <c:pt idx="17">
                  <c:v>1.4305397048873101</c:v>
                </c:pt>
                <c:pt idx="18">
                  <c:v>1.52234352816712</c:v>
                </c:pt>
                <c:pt idx="19">
                  <c:v>1.6183970742795699</c:v>
                </c:pt>
                <c:pt idx="20">
                  <c:v>1.7727172780006599</c:v>
                </c:pt>
                <c:pt idx="21">
                  <c:v>1.63200519542711</c:v>
                </c:pt>
                <c:pt idx="22">
                  <c:v>2.0661422432763099</c:v>
                </c:pt>
                <c:pt idx="23">
                  <c:v>2.2784919270897199</c:v>
                </c:pt>
                <c:pt idx="24">
                  <c:v>2.8922735234780399</c:v>
                </c:pt>
                <c:pt idx="25">
                  <c:v>2.5646013452554199</c:v>
                </c:pt>
                <c:pt idx="26">
                  <c:v>2.5313792708976601</c:v>
                </c:pt>
                <c:pt idx="27">
                  <c:v>2.4921686457631602</c:v>
                </c:pt>
                <c:pt idx="28">
                  <c:v>2.34487892939759</c:v>
                </c:pt>
                <c:pt idx="29">
                  <c:v>2.31139592613185</c:v>
                </c:pt>
                <c:pt idx="30">
                  <c:v>2.2209745423987299</c:v>
                </c:pt>
                <c:pt idx="31">
                  <c:v>2.4315109671805302</c:v>
                </c:pt>
                <c:pt idx="32">
                  <c:v>3.2631376556296101</c:v>
                </c:pt>
                <c:pt idx="33">
                  <c:v>3.3858240661722401</c:v>
                </c:pt>
                <c:pt idx="34">
                  <c:v>3.18603860202334</c:v>
                </c:pt>
                <c:pt idx="35">
                  <c:v>2.0283380266548301</c:v>
                </c:pt>
                <c:pt idx="36">
                  <c:v>0.922292374075108</c:v>
                </c:pt>
                <c:pt idx="37">
                  <c:v>0.99868343049463704</c:v>
                </c:pt>
                <c:pt idx="38">
                  <c:v>0.92462639051930295</c:v>
                </c:pt>
                <c:pt idx="39">
                  <c:v>0.83125016369247196</c:v>
                </c:pt>
                <c:pt idx="40">
                  <c:v>0.75921981398358196</c:v>
                </c:pt>
                <c:pt idx="41">
                  <c:v>0.93723252767407395</c:v>
                </c:pt>
                <c:pt idx="42">
                  <c:v>1.5715768716073399</c:v>
                </c:pt>
                <c:pt idx="43">
                  <c:v>2.4790000892869699</c:v>
                </c:pt>
                <c:pt idx="44">
                  <c:v>2.7280675336845501</c:v>
                </c:pt>
                <c:pt idx="45">
                  <c:v>2.9058978468343999</c:v>
                </c:pt>
                <c:pt idx="46">
                  <c:v>3.4250218263448602</c:v>
                </c:pt>
                <c:pt idx="47">
                  <c:v>3.2586142251947501</c:v>
                </c:pt>
                <c:pt idx="48">
                  <c:v>2.8569852336547998</c:v>
                </c:pt>
                <c:pt idx="49">
                  <c:v>2.0879577090692401</c:v>
                </c:pt>
                <c:pt idx="50">
                  <c:v>2.2942862432131101</c:v>
                </c:pt>
                <c:pt idx="51">
                  <c:v>1.8795223960260901</c:v>
                </c:pt>
                <c:pt idx="52">
                  <c:v>1.6494007803258199</c:v>
                </c:pt>
                <c:pt idx="53">
                  <c:v>1.57901106701552</c:v>
                </c:pt>
                <c:pt idx="54">
                  <c:v>1.39764346832174</c:v>
                </c:pt>
                <c:pt idx="55">
                  <c:v>1.24841687981126</c:v>
                </c:pt>
                <c:pt idx="56">
                  <c:v>1.20601644060503</c:v>
                </c:pt>
                <c:pt idx="57">
                  <c:v>1.1496190093873999</c:v>
                </c:pt>
                <c:pt idx="58">
                  <c:v>0.91230339237692504</c:v>
                </c:pt>
                <c:pt idx="59">
                  <c:v>0.88615808414097597</c:v>
                </c:pt>
                <c:pt idx="60">
                  <c:v>0.37874422879834702</c:v>
                </c:pt>
                <c:pt idx="61">
                  <c:v>0.54086213254436699</c:v>
                </c:pt>
                <c:pt idx="62">
                  <c:v>1.6532970665409901</c:v>
                </c:pt>
                <c:pt idx="63">
                  <c:v>2.6059359110025699</c:v>
                </c:pt>
                <c:pt idx="64">
                  <c:v>2.5700612827751499</c:v>
                </c:pt>
                <c:pt idx="65">
                  <c:v>2.19380335462249</c:v>
                </c:pt>
                <c:pt idx="66">
                  <c:v>1.73099927552703</c:v>
                </c:pt>
                <c:pt idx="67">
                  <c:v>1.5767544293385301</c:v>
                </c:pt>
                <c:pt idx="68">
                  <c:v>1.7429162858012099</c:v>
                </c:pt>
                <c:pt idx="69">
                  <c:v>1.55484872353857</c:v>
                </c:pt>
                <c:pt idx="70">
                  <c:v>1.50655421581115</c:v>
                </c:pt>
                <c:pt idx="71">
                  <c:v>1.72122104359439</c:v>
                </c:pt>
                <c:pt idx="72">
                  <c:v>1.83948251184028</c:v>
                </c:pt>
                <c:pt idx="73">
                  <c:v>1.87178238317171</c:v>
                </c:pt>
                <c:pt idx="74">
                  <c:v>1.81046984570384</c:v>
                </c:pt>
                <c:pt idx="75">
                  <c:v>1.6788777806274899</c:v>
                </c:pt>
                <c:pt idx="76">
                  <c:v>1.34119593280726</c:v>
                </c:pt>
                <c:pt idx="77">
                  <c:v>1.5589559021708199</c:v>
                </c:pt>
                <c:pt idx="78">
                  <c:v>1.70876449035538</c:v>
                </c:pt>
                <c:pt idx="79">
                  <c:v>1.5560188191757101</c:v>
                </c:pt>
                <c:pt idx="80">
                  <c:v>1.7380537845810899</c:v>
                </c:pt>
                <c:pt idx="81">
                  <c:v>1.47741485786211</c:v>
                </c:pt>
                <c:pt idx="82">
                  <c:v>1.6701767485261401</c:v>
                </c:pt>
                <c:pt idx="83">
                  <c:v>1.7842016580036399</c:v>
                </c:pt>
                <c:pt idx="84">
                  <c:v>1.7996716023666599</c:v>
                </c:pt>
                <c:pt idx="85">
                  <c:v>1.7447249817478101</c:v>
                </c:pt>
                <c:pt idx="86">
                  <c:v>1.82764697072589</c:v>
                </c:pt>
                <c:pt idx="87">
                  <c:v>1.7712144970027399</c:v>
                </c:pt>
                <c:pt idx="88">
                  <c:v>1.76665341654651</c:v>
                </c:pt>
                <c:pt idx="89">
                  <c:v>1.8964579526176699</c:v>
                </c:pt>
                <c:pt idx="90">
                  <c:v>1.8982628386159099</c:v>
                </c:pt>
                <c:pt idx="91">
                  <c:v>2.0703685957931999</c:v>
                </c:pt>
                <c:pt idx="92">
                  <c:v>2.0399353314726598</c:v>
                </c:pt>
                <c:pt idx="93">
                  <c:v>1.9650876865515401</c:v>
                </c:pt>
                <c:pt idx="94">
                  <c:v>2.00244258894076</c:v>
                </c:pt>
                <c:pt idx="95">
                  <c:v>2.0004740730614201</c:v>
                </c:pt>
                <c:pt idx="96">
                  <c:v>2.0135012412822402</c:v>
                </c:pt>
                <c:pt idx="97">
                  <c:v>1.92216058890275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9A-F943-B4BA-29CA06C66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493305"/>
        <c:axId val="6044812"/>
      </c:lineChart>
      <c:catAx>
        <c:axId val="32493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044812"/>
        <c:crosses val="autoZero"/>
        <c:auto val="1"/>
        <c:lblAlgn val="ctr"/>
        <c:lblOffset val="100"/>
        <c:noMultiLvlLbl val="0"/>
      </c:catAx>
      <c:valAx>
        <c:axId val="60448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Implied heat rate (€ power / € TTF)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4933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Capture price vs LCOE band vs PPA range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Onshore wind capture price</c:v>
          </c:tx>
          <c:spPr>
            <a:solidFill>
              <a:srgbClr val="2E75B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Chart_Data!$C$3:$C$11</c:f>
              <c:numCache>
                <c:formatCode>General</c:formatCode>
                <c:ptCount val="9"/>
                <c:pt idx="0">
                  <c:v>26.242986080108398</c:v>
                </c:pt>
                <c:pt idx="1">
                  <c:v>24.4719585063952</c:v>
                </c:pt>
                <c:pt idx="2">
                  <c:v>27.529038305644999</c:v>
                </c:pt>
                <c:pt idx="3">
                  <c:v>37.357557109053403</c:v>
                </c:pt>
                <c:pt idx="4">
                  <c:v>32.364351879166101</c:v>
                </c:pt>
                <c:pt idx="5">
                  <c:v>24.636674076530198</c:v>
                </c:pt>
                <c:pt idx="6">
                  <c:v>80.509631627832604</c:v>
                </c:pt>
                <c:pt idx="7">
                  <c:v>168.38443581983699</c:v>
                </c:pt>
                <c:pt idx="8">
                  <c:v>96.993270246844702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5-D949-8721-640939DE7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41366"/>
        <c:axId val="53823662"/>
      </c:barChart>
      <c:lineChart>
        <c:grouping val="standard"/>
        <c:varyColors val="0"/>
        <c:ser>
          <c:idx val="1"/>
          <c:order val="1"/>
          <c:tx>
            <c:v>LCOE low (€45)</c:v>
          </c:tx>
          <c:spPr>
            <a:ln w="1800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Chart_Data!$S$3:$S$11</c:f>
              <c:numCache>
                <c:formatCode>General</c:formatCode>
                <c:ptCount val="9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85-D949-8721-640939DE7E98}"/>
            </c:ext>
          </c:extLst>
        </c:ser>
        <c:ser>
          <c:idx val="2"/>
          <c:order val="2"/>
          <c:tx>
            <c:v>LCOE high (€65)</c:v>
          </c:tx>
          <c:spPr>
            <a:ln w="1800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Chart_Data!$T$3:$T$11</c:f>
              <c:numCache>
                <c:formatCode>General</c:formatCode>
                <c:ptCount val="9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85-D949-8721-640939DE7E98}"/>
            </c:ext>
          </c:extLst>
        </c:ser>
        <c:ser>
          <c:idx val="3"/>
          <c:order val="3"/>
          <c:tx>
            <c:v>PPA range low (€55)</c:v>
          </c:tx>
          <c:spPr>
            <a:ln w="2196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Chart_Data!$U$3:$U$11</c:f>
              <c:numCache>
                <c:formatCode>General</c:formatCode>
                <c:ptCount val="9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85-D949-8721-640939DE7E98}"/>
            </c:ext>
          </c:extLst>
        </c:ser>
        <c:ser>
          <c:idx val="4"/>
          <c:order val="4"/>
          <c:tx>
            <c:v>PPA range high (€70)</c:v>
          </c:tx>
          <c:spPr>
            <a:ln w="2196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Chart_Data!$A$3:$A$11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Chart_Data!$V$3:$V$11</c:f>
              <c:numCache>
                <c:formatCode>General</c:formatCode>
                <c:ptCount val="9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85-D949-8721-640939DE7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2241366"/>
        <c:axId val="53823662"/>
      </c:lineChart>
      <c:catAx>
        <c:axId val="522413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3823662"/>
        <c:crosses val="autoZero"/>
        <c:auto val="1"/>
        <c:lblAlgn val="ctr"/>
        <c:lblOffset val="100"/>
        <c:noMultiLvlLbl val="0"/>
      </c:catAx>
      <c:valAx>
        <c:axId val="538236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EUR/MWh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2413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Merchant capture price vs TTF — by capture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 = 65% (gas-marginal)</c:v>
          </c:tx>
          <c:spPr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Chart_Data2!$A$2:$A$42</c:f>
              <c:numCache>
                <c:formatCode>General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xVal>
          <c:yVal>
            <c:numRef>
              <c:f>Chart_Data2!$B$2:$B$42</c:f>
              <c:numCache>
                <c:formatCode>General</c:formatCode>
                <c:ptCount val="41"/>
                <c:pt idx="0">
                  <c:v>1.0530000000000002</c:v>
                </c:pt>
                <c:pt idx="1">
                  <c:v>7.3644999999999987</c:v>
                </c:pt>
                <c:pt idx="2">
                  <c:v>13.676</c:v>
                </c:pt>
                <c:pt idx="3">
                  <c:v>19.987500000000001</c:v>
                </c:pt>
                <c:pt idx="4">
                  <c:v>26.298999999999996</c:v>
                </c:pt>
                <c:pt idx="5">
                  <c:v>32.610499999999995</c:v>
                </c:pt>
                <c:pt idx="6">
                  <c:v>38.921999999999997</c:v>
                </c:pt>
                <c:pt idx="7">
                  <c:v>45.233500000000006</c:v>
                </c:pt>
                <c:pt idx="8">
                  <c:v>51.545000000000002</c:v>
                </c:pt>
                <c:pt idx="9">
                  <c:v>57.856500000000004</c:v>
                </c:pt>
                <c:pt idx="10">
                  <c:v>64.168000000000006</c:v>
                </c:pt>
                <c:pt idx="11">
                  <c:v>70.479500000000002</c:v>
                </c:pt>
                <c:pt idx="12">
                  <c:v>76.790999999999997</c:v>
                </c:pt>
                <c:pt idx="13">
                  <c:v>83.102499999999992</c:v>
                </c:pt>
                <c:pt idx="14">
                  <c:v>89.414000000000001</c:v>
                </c:pt>
                <c:pt idx="15">
                  <c:v>95.725500000000011</c:v>
                </c:pt>
                <c:pt idx="16">
                  <c:v>102.03699999999999</c:v>
                </c:pt>
                <c:pt idx="17">
                  <c:v>108.3485</c:v>
                </c:pt>
                <c:pt idx="18">
                  <c:v>114.66000000000001</c:v>
                </c:pt>
                <c:pt idx="19">
                  <c:v>120.97150000000001</c:v>
                </c:pt>
                <c:pt idx="20">
                  <c:v>127.283</c:v>
                </c:pt>
                <c:pt idx="21">
                  <c:v>133.59450000000001</c:v>
                </c:pt>
                <c:pt idx="22">
                  <c:v>139.90600000000001</c:v>
                </c:pt>
                <c:pt idx="23">
                  <c:v>146.2175</c:v>
                </c:pt>
                <c:pt idx="24">
                  <c:v>152.529</c:v>
                </c:pt>
                <c:pt idx="25">
                  <c:v>158.84050000000002</c:v>
                </c:pt>
                <c:pt idx="26">
                  <c:v>165.15199999999999</c:v>
                </c:pt>
                <c:pt idx="27">
                  <c:v>171.46350000000001</c:v>
                </c:pt>
                <c:pt idx="28">
                  <c:v>177.77500000000001</c:v>
                </c:pt>
                <c:pt idx="29">
                  <c:v>184.0865</c:v>
                </c:pt>
                <c:pt idx="30">
                  <c:v>190.39800000000002</c:v>
                </c:pt>
                <c:pt idx="31">
                  <c:v>196.70949999999999</c:v>
                </c:pt>
                <c:pt idx="32">
                  <c:v>203.02099999999999</c:v>
                </c:pt>
                <c:pt idx="33">
                  <c:v>209.33250000000001</c:v>
                </c:pt>
                <c:pt idx="34">
                  <c:v>215.64400000000001</c:v>
                </c:pt>
                <c:pt idx="35">
                  <c:v>221.9555</c:v>
                </c:pt>
                <c:pt idx="36">
                  <c:v>228.26700000000002</c:v>
                </c:pt>
                <c:pt idx="37">
                  <c:v>234.57849999999999</c:v>
                </c:pt>
                <c:pt idx="38">
                  <c:v>240.89000000000001</c:v>
                </c:pt>
                <c:pt idx="39">
                  <c:v>247.20150000000001</c:v>
                </c:pt>
                <c:pt idx="40">
                  <c:v>253.51300000000001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08-D045-9DCE-BDC0099A1B6F}"/>
            </c:ext>
          </c:extLst>
        </c:ser>
        <c:ser>
          <c:idx val="1"/>
          <c:order val="1"/>
          <c:tx>
            <c:v>CR = 75% (central)</c:v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Chart_Data2!$A$2:$A$42</c:f>
              <c:numCache>
                <c:formatCode>General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xVal>
          <c:yVal>
            <c:numRef>
              <c:f>Chart_Data2!$C$2:$C$42</c:f>
              <c:numCache>
                <c:formatCode>General</c:formatCode>
                <c:ptCount val="41"/>
                <c:pt idx="0">
                  <c:v>1.2150000000000001</c:v>
                </c:pt>
                <c:pt idx="1">
                  <c:v>8.4974999999999987</c:v>
                </c:pt>
                <c:pt idx="2">
                  <c:v>15.78</c:v>
                </c:pt>
                <c:pt idx="3">
                  <c:v>23.0625</c:v>
                </c:pt>
                <c:pt idx="4">
                  <c:v>30.344999999999995</c:v>
                </c:pt>
                <c:pt idx="5">
                  <c:v>37.627499999999998</c:v>
                </c:pt>
                <c:pt idx="6">
                  <c:v>44.91</c:v>
                </c:pt>
                <c:pt idx="7">
                  <c:v>52.192500000000003</c:v>
                </c:pt>
                <c:pt idx="8">
                  <c:v>59.474999999999994</c:v>
                </c:pt>
                <c:pt idx="9">
                  <c:v>66.757500000000007</c:v>
                </c:pt>
                <c:pt idx="10">
                  <c:v>74.039999999999992</c:v>
                </c:pt>
                <c:pt idx="11">
                  <c:v>81.322500000000005</c:v>
                </c:pt>
                <c:pt idx="12">
                  <c:v>88.605000000000004</c:v>
                </c:pt>
                <c:pt idx="13">
                  <c:v>95.887499999999989</c:v>
                </c:pt>
                <c:pt idx="14">
                  <c:v>103.17</c:v>
                </c:pt>
                <c:pt idx="15">
                  <c:v>110.45250000000001</c:v>
                </c:pt>
                <c:pt idx="16">
                  <c:v>117.73499999999999</c:v>
                </c:pt>
                <c:pt idx="17">
                  <c:v>125.0175</c:v>
                </c:pt>
                <c:pt idx="18">
                  <c:v>132.30000000000001</c:v>
                </c:pt>
                <c:pt idx="19">
                  <c:v>139.58250000000001</c:v>
                </c:pt>
                <c:pt idx="20">
                  <c:v>146.86500000000001</c:v>
                </c:pt>
                <c:pt idx="21">
                  <c:v>154.14750000000001</c:v>
                </c:pt>
                <c:pt idx="22">
                  <c:v>161.43</c:v>
                </c:pt>
                <c:pt idx="23">
                  <c:v>168.71249999999998</c:v>
                </c:pt>
                <c:pt idx="24">
                  <c:v>175.995</c:v>
                </c:pt>
                <c:pt idx="25">
                  <c:v>183.2775</c:v>
                </c:pt>
                <c:pt idx="26">
                  <c:v>190.56</c:v>
                </c:pt>
                <c:pt idx="27">
                  <c:v>197.84250000000003</c:v>
                </c:pt>
                <c:pt idx="28">
                  <c:v>205.125</c:v>
                </c:pt>
                <c:pt idx="29">
                  <c:v>212.40749999999997</c:v>
                </c:pt>
                <c:pt idx="30">
                  <c:v>219.69</c:v>
                </c:pt>
                <c:pt idx="31">
                  <c:v>226.9725</c:v>
                </c:pt>
                <c:pt idx="32">
                  <c:v>234.255</c:v>
                </c:pt>
                <c:pt idx="33">
                  <c:v>241.53750000000002</c:v>
                </c:pt>
                <c:pt idx="34">
                  <c:v>248.82</c:v>
                </c:pt>
                <c:pt idx="35">
                  <c:v>256.10249999999996</c:v>
                </c:pt>
                <c:pt idx="36">
                  <c:v>263.38499999999999</c:v>
                </c:pt>
                <c:pt idx="37">
                  <c:v>270.66750000000002</c:v>
                </c:pt>
                <c:pt idx="38">
                  <c:v>277.95000000000005</c:v>
                </c:pt>
                <c:pt idx="39">
                  <c:v>285.23250000000002</c:v>
                </c:pt>
                <c:pt idx="40">
                  <c:v>292.51499999999999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08-D045-9DCE-BDC0099A1B6F}"/>
            </c:ext>
          </c:extLst>
        </c:ser>
        <c:ser>
          <c:idx val="2"/>
          <c:order val="2"/>
          <c:tx>
            <c:v>CR = 85% (decarb)</c:v>
          </c:tx>
          <c:spPr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Chart_Data2!$A$2:$A$42</c:f>
              <c:numCache>
                <c:formatCode>General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xVal>
          <c:yVal>
            <c:numRef>
              <c:f>Chart_Data2!$D$2:$D$42</c:f>
              <c:numCache>
                <c:formatCode>General</c:formatCode>
                <c:ptCount val="41"/>
                <c:pt idx="0">
                  <c:v>1.377</c:v>
                </c:pt>
                <c:pt idx="1">
                  <c:v>9.6304999999999978</c:v>
                </c:pt>
                <c:pt idx="2">
                  <c:v>17.884</c:v>
                </c:pt>
                <c:pt idx="3">
                  <c:v>26.137499999999999</c:v>
                </c:pt>
                <c:pt idx="4">
                  <c:v>34.390999999999991</c:v>
                </c:pt>
                <c:pt idx="5">
                  <c:v>42.644499999999994</c:v>
                </c:pt>
                <c:pt idx="6">
                  <c:v>50.897999999999996</c:v>
                </c:pt>
                <c:pt idx="7">
                  <c:v>59.151499999999999</c:v>
                </c:pt>
                <c:pt idx="8">
                  <c:v>67.405000000000001</c:v>
                </c:pt>
                <c:pt idx="9">
                  <c:v>75.658500000000004</c:v>
                </c:pt>
                <c:pt idx="10">
                  <c:v>83.911999999999992</c:v>
                </c:pt>
                <c:pt idx="11">
                  <c:v>92.165500000000009</c:v>
                </c:pt>
                <c:pt idx="12">
                  <c:v>100.419</c:v>
                </c:pt>
                <c:pt idx="13">
                  <c:v>108.6725</c:v>
                </c:pt>
                <c:pt idx="14">
                  <c:v>116.926</c:v>
                </c:pt>
                <c:pt idx="15">
                  <c:v>125.1795</c:v>
                </c:pt>
                <c:pt idx="16">
                  <c:v>133.43299999999999</c:v>
                </c:pt>
                <c:pt idx="17">
                  <c:v>141.6865</c:v>
                </c:pt>
                <c:pt idx="18">
                  <c:v>149.94</c:v>
                </c:pt>
                <c:pt idx="19">
                  <c:v>158.1935</c:v>
                </c:pt>
                <c:pt idx="20">
                  <c:v>166.447</c:v>
                </c:pt>
                <c:pt idx="21">
                  <c:v>174.70050000000001</c:v>
                </c:pt>
                <c:pt idx="22">
                  <c:v>182.95400000000001</c:v>
                </c:pt>
                <c:pt idx="23">
                  <c:v>191.20749999999998</c:v>
                </c:pt>
                <c:pt idx="24">
                  <c:v>199.46099999999998</c:v>
                </c:pt>
                <c:pt idx="25">
                  <c:v>207.71449999999999</c:v>
                </c:pt>
                <c:pt idx="26">
                  <c:v>215.96799999999999</c:v>
                </c:pt>
                <c:pt idx="27">
                  <c:v>224.22150000000002</c:v>
                </c:pt>
                <c:pt idx="28">
                  <c:v>232.47499999999999</c:v>
                </c:pt>
                <c:pt idx="29">
                  <c:v>240.72849999999997</c:v>
                </c:pt>
                <c:pt idx="30">
                  <c:v>248.982</c:v>
                </c:pt>
                <c:pt idx="31">
                  <c:v>257.2355</c:v>
                </c:pt>
                <c:pt idx="32">
                  <c:v>265.48899999999998</c:v>
                </c:pt>
                <c:pt idx="33">
                  <c:v>273.74250000000001</c:v>
                </c:pt>
                <c:pt idx="34">
                  <c:v>281.99599999999998</c:v>
                </c:pt>
                <c:pt idx="35">
                  <c:v>290.24949999999995</c:v>
                </c:pt>
                <c:pt idx="36">
                  <c:v>298.50299999999999</c:v>
                </c:pt>
                <c:pt idx="37">
                  <c:v>306.75649999999996</c:v>
                </c:pt>
                <c:pt idx="38">
                  <c:v>315.01</c:v>
                </c:pt>
                <c:pt idx="39">
                  <c:v>323.26350000000002</c:v>
                </c:pt>
                <c:pt idx="40">
                  <c:v>331.517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08-D045-9DCE-BDC0099A1B6F}"/>
            </c:ext>
          </c:extLst>
        </c:ser>
        <c:ser>
          <c:idx val="3"/>
          <c:order val="3"/>
          <c:tx>
            <c:v>LCOE central (€55/MWh)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Chart_Data2!$A$2:$A$42</c:f>
              <c:numCache>
                <c:formatCode>General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xVal>
          <c:yVal>
            <c:numRef>
              <c:f>Chart_Data2!$E$2:$E$42</c:f>
              <c:numCache>
                <c:formatCode>0.00</c:formatCode>
                <c:ptCount val="41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55</c:v>
                </c:pt>
                <c:pt idx="34">
                  <c:v>55</c:v>
                </c:pt>
                <c:pt idx="35">
                  <c:v>55</c:v>
                </c:pt>
                <c:pt idx="36">
                  <c:v>55</c:v>
                </c:pt>
                <c:pt idx="37">
                  <c:v>55</c:v>
                </c:pt>
                <c:pt idx="38">
                  <c:v>55</c:v>
                </c:pt>
                <c:pt idx="39">
                  <c:v>55</c:v>
                </c:pt>
                <c:pt idx="40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08-D045-9DCE-BDC0099A1B6F}"/>
            </c:ext>
          </c:extLst>
        </c:ser>
        <c:ser>
          <c:idx val="4"/>
          <c:order val="4"/>
          <c:tx>
            <c:v>PPA floor (8% IRR)</c:v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Chart_Data2!$A$2:$A$42</c:f>
              <c:numCache>
                <c:formatCode>General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numCache>
            </c:numRef>
          </c:xVal>
          <c:yVal>
            <c:numRef>
              <c:f>Chart_Data2!$F$2:$F$42</c:f>
              <c:numCache>
                <c:formatCode>\€#,##0.0</c:formatCode>
                <c:ptCount val="41"/>
                <c:pt idx="0">
                  <c:v>52.842960169181367</c:v>
                </c:pt>
                <c:pt idx="1">
                  <c:v>52.842960169181367</c:v>
                </c:pt>
                <c:pt idx="2">
                  <c:v>52.842960169181367</c:v>
                </c:pt>
                <c:pt idx="3">
                  <c:v>52.842960169181367</c:v>
                </c:pt>
                <c:pt idx="4">
                  <c:v>52.842960169181367</c:v>
                </c:pt>
                <c:pt idx="5">
                  <c:v>52.842960169181367</c:v>
                </c:pt>
                <c:pt idx="6">
                  <c:v>52.842960169181367</c:v>
                </c:pt>
                <c:pt idx="7">
                  <c:v>52.842960169181367</c:v>
                </c:pt>
                <c:pt idx="8">
                  <c:v>52.842960169181367</c:v>
                </c:pt>
                <c:pt idx="9">
                  <c:v>52.842960169181367</c:v>
                </c:pt>
                <c:pt idx="10">
                  <c:v>52.842960169181367</c:v>
                </c:pt>
                <c:pt idx="11">
                  <c:v>52.842960169181367</c:v>
                </c:pt>
                <c:pt idx="12">
                  <c:v>52.842960169181367</c:v>
                </c:pt>
                <c:pt idx="13">
                  <c:v>52.842960169181367</c:v>
                </c:pt>
                <c:pt idx="14">
                  <c:v>52.842960169181367</c:v>
                </c:pt>
                <c:pt idx="15">
                  <c:v>52.842960169181367</c:v>
                </c:pt>
                <c:pt idx="16">
                  <c:v>52.842960169181367</c:v>
                </c:pt>
                <c:pt idx="17">
                  <c:v>52.842960169181367</c:v>
                </c:pt>
                <c:pt idx="18">
                  <c:v>52.842960169181367</c:v>
                </c:pt>
                <c:pt idx="19">
                  <c:v>52.842960169181367</c:v>
                </c:pt>
                <c:pt idx="20">
                  <c:v>52.842960169181367</c:v>
                </c:pt>
                <c:pt idx="21">
                  <c:v>52.842960169181367</c:v>
                </c:pt>
                <c:pt idx="22">
                  <c:v>52.842960169181367</c:v>
                </c:pt>
                <c:pt idx="23">
                  <c:v>52.842960169181367</c:v>
                </c:pt>
                <c:pt idx="24">
                  <c:v>52.842960169181367</c:v>
                </c:pt>
                <c:pt idx="25">
                  <c:v>52.842960169181367</c:v>
                </c:pt>
                <c:pt idx="26">
                  <c:v>52.842960169181367</c:v>
                </c:pt>
                <c:pt idx="27">
                  <c:v>52.842960169181367</c:v>
                </c:pt>
                <c:pt idx="28">
                  <c:v>52.842960169181367</c:v>
                </c:pt>
                <c:pt idx="29">
                  <c:v>52.842960169181367</c:v>
                </c:pt>
                <c:pt idx="30">
                  <c:v>52.842960169181367</c:v>
                </c:pt>
                <c:pt idx="31">
                  <c:v>52.842960169181367</c:v>
                </c:pt>
                <c:pt idx="32">
                  <c:v>52.842960169181367</c:v>
                </c:pt>
                <c:pt idx="33">
                  <c:v>52.842960169181367</c:v>
                </c:pt>
                <c:pt idx="34">
                  <c:v>52.842960169181367</c:v>
                </c:pt>
                <c:pt idx="35">
                  <c:v>52.842960169181367</c:v>
                </c:pt>
                <c:pt idx="36">
                  <c:v>52.842960169181367</c:v>
                </c:pt>
                <c:pt idx="37">
                  <c:v>52.842960169181367</c:v>
                </c:pt>
                <c:pt idx="38">
                  <c:v>52.842960169181367</c:v>
                </c:pt>
                <c:pt idx="39">
                  <c:v>52.842960169181367</c:v>
                </c:pt>
                <c:pt idx="40">
                  <c:v>52.842960169181367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08-D045-9DCE-BDC0099A1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8423"/>
        <c:axId val="29984111"/>
      </c:scatterChart>
      <c:valAx>
        <c:axId val="161984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TTF gas price (€/MWh)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984111"/>
        <c:crosses val="autoZero"/>
        <c:crossBetween val="midCat"/>
      </c:valAx>
      <c:valAx>
        <c:axId val="299841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Onshore wind capture price (€/MWh)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619842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Annual_Capture!$S$1</c:f>
              <c:strCache>
                <c:ptCount val="1"/>
                <c:pt idx="0">
                  <c:v>baseload_eur_mwh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Annual_Capture!$A$2:$A$10</c:f>
              <c:numCache>
                <c:formatCode>0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Annual_Capture!$S$2:$S$10</c:f>
              <c:numCache>
                <c:formatCode>#,##0.00</c:formatCode>
                <c:ptCount val="9"/>
                <c:pt idx="0">
                  <c:v>31.83401038661281</c:v>
                </c:pt>
                <c:pt idx="1">
                  <c:v>28.982166438979963</c:v>
                </c:pt>
                <c:pt idx="2">
                  <c:v>34.185533105022834</c:v>
                </c:pt>
                <c:pt idx="3">
                  <c:v>44.47275456621005</c:v>
                </c:pt>
                <c:pt idx="4">
                  <c:v>37.668148401826485</c:v>
                </c:pt>
                <c:pt idx="5">
                  <c:v>30.471738387978142</c:v>
                </c:pt>
                <c:pt idx="6">
                  <c:v>96.849824200913233</c:v>
                </c:pt>
                <c:pt idx="7">
                  <c:v>235.43983904109589</c:v>
                </c:pt>
                <c:pt idx="8">
                  <c:v>123.22931202223768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3-984F-9CAA-B8F220F3AD15}"/>
            </c:ext>
          </c:extLst>
        </c:ser>
        <c:ser>
          <c:idx val="1"/>
          <c:order val="1"/>
          <c:tx>
            <c:strRef>
              <c:f>Annual_Capture!$T$1</c:f>
              <c:strCache>
                <c:ptCount val="1"/>
                <c:pt idx="0">
                  <c:v>capture_onshore_eur_mwh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Annual_Capture!$A$2:$A$10</c:f>
              <c:numCache>
                <c:formatCode>0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Annual_Capture!$T$2:$T$10</c:f>
              <c:numCache>
                <c:formatCode>#,##0.00</c:formatCode>
                <c:ptCount val="9"/>
                <c:pt idx="0">
                  <c:v>26.242986080108441</c:v>
                </c:pt>
                <c:pt idx="1">
                  <c:v>24.471958506395204</c:v>
                </c:pt>
                <c:pt idx="2">
                  <c:v>27.529038305645003</c:v>
                </c:pt>
                <c:pt idx="3">
                  <c:v>37.357557109053388</c:v>
                </c:pt>
                <c:pt idx="4">
                  <c:v>32.364351879166087</c:v>
                </c:pt>
                <c:pt idx="5">
                  <c:v>24.636674076530216</c:v>
                </c:pt>
                <c:pt idx="6">
                  <c:v>80.509631627832604</c:v>
                </c:pt>
                <c:pt idx="7">
                  <c:v>168.38443581983668</c:v>
                </c:pt>
                <c:pt idx="8">
                  <c:v>96.993270246844645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3-984F-9CAA-B8F220F3AD15}"/>
            </c:ext>
          </c:extLst>
        </c:ser>
        <c:ser>
          <c:idx val="2"/>
          <c:order val="2"/>
          <c:tx>
            <c:strRef>
              <c:f>Annual_Capture!$U$1</c:f>
              <c:strCache>
                <c:ptCount val="1"/>
                <c:pt idx="0">
                  <c:v>capture_offshore_eur_mwh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Annual_Capture!$A$2:$A$10</c:f>
              <c:numCache>
                <c:formatCode>0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Annual_Capture!$U$2:$U$10</c:f>
              <c:numCache>
                <c:formatCode>#,##0.00</c:formatCode>
                <c:ptCount val="9"/>
                <c:pt idx="0">
                  <c:v>29.227184129711983</c:v>
                </c:pt>
                <c:pt idx="1">
                  <c:v>26.653935404071959</c:v>
                </c:pt>
                <c:pt idx="2">
                  <c:v>30.514870112797482</c:v>
                </c:pt>
                <c:pt idx="3">
                  <c:v>41.008327287780382</c:v>
                </c:pt>
                <c:pt idx="4">
                  <c:v>34.897697500875346</c:v>
                </c:pt>
                <c:pt idx="5">
                  <c:v>27.772349591078807</c:v>
                </c:pt>
                <c:pt idx="6">
                  <c:v>92.326683906880803</c:v>
                </c:pt>
                <c:pt idx="7">
                  <c:v>194.3568398806419</c:v>
                </c:pt>
                <c:pt idx="8">
                  <c:v>107.98198702704339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B3-984F-9CAA-B8F220F3AD15}"/>
            </c:ext>
          </c:extLst>
        </c:ser>
        <c:ser>
          <c:idx val="3"/>
          <c:order val="3"/>
          <c:tx>
            <c:strRef>
              <c:f>Annual_Capture!$V$1</c:f>
              <c:strCache>
                <c:ptCount val="1"/>
                <c:pt idx="0">
                  <c:v>capture_solar_eur_mwh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Annual_Capture!$A$2:$A$10</c:f>
              <c:numCache>
                <c:formatCode>0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Annual_Capture!$V$2:$V$10</c:f>
              <c:numCache>
                <c:formatCode>#,##0.00</c:formatCode>
                <c:ptCount val="9"/>
                <c:pt idx="0">
                  <c:v>30.83485321620784</c:v>
                </c:pt>
                <c:pt idx="1">
                  <c:v>26.747588729586234</c:v>
                </c:pt>
                <c:pt idx="2">
                  <c:v>31.62622589273029</c:v>
                </c:pt>
                <c:pt idx="3">
                  <c:v>43.839506464098655</c:v>
                </c:pt>
                <c:pt idx="4">
                  <c:v>34.913854389791901</c:v>
                </c:pt>
                <c:pt idx="5">
                  <c:v>24.599707273465022</c:v>
                </c:pt>
                <c:pt idx="6">
                  <c:v>75.55222593052855</c:v>
                </c:pt>
                <c:pt idx="7">
                  <c:v>223.54204727698306</c:v>
                </c:pt>
                <c:pt idx="8">
                  <c:v>122.80383724517628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B3-984F-9CAA-B8F220F3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06942"/>
        <c:axId val="49797045"/>
      </c:barChart>
      <c:catAx>
        <c:axId val="3520694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49797045"/>
        <c:crosses val="autoZero"/>
        <c:auto val="1"/>
        <c:lblAlgn val="ctr"/>
        <c:lblOffset val="100"/>
        <c:noMultiLvlLbl val="0"/>
      </c:catAx>
      <c:valAx>
        <c:axId val="4979704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352069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3.9424579758221397E-2"/>
          <c:y val="9.9905303030302997E-2"/>
          <c:w val="0.94331919237025896"/>
          <c:h val="0.72727272727272696"/>
        </c:manualLayout>
      </c:layout>
      <c:lineChart>
        <c:grouping val="standard"/>
        <c:varyColors val="0"/>
        <c:ser>
          <c:idx val="0"/>
          <c:order val="0"/>
          <c:tx>
            <c:v>Onshore</c:v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Monthly_Capture!$O$2:$O$100</c:f>
              <c:numCache>
                <c:formatCode>#,##0.00</c:formatCode>
                <c:ptCount val="99"/>
                <c:pt idx="0">
                  <c:v>31.046887519260402</c:v>
                </c:pt>
                <c:pt idx="1">
                  <c:v>36.694181547619053</c:v>
                </c:pt>
                <c:pt idx="2">
                  <c:v>31.297836021505375</c:v>
                </c:pt>
                <c:pt idx="3">
                  <c:v>29.778597222222224</c:v>
                </c:pt>
                <c:pt idx="4">
                  <c:v>25.330389784946238</c:v>
                </c:pt>
                <c:pt idx="5">
                  <c:v>30.109736111111108</c:v>
                </c:pt>
                <c:pt idx="6">
                  <c:v>34.979677419354843</c:v>
                </c:pt>
                <c:pt idx="7">
                  <c:v>31.613400537634408</c:v>
                </c:pt>
                <c:pt idx="8">
                  <c:v>31.888611111111111</c:v>
                </c:pt>
                <c:pt idx="9">
                  <c:v>39.368897849462364</c:v>
                </c:pt>
                <c:pt idx="10">
                  <c:v>32.381680555555555</c:v>
                </c:pt>
                <c:pt idx="11">
                  <c:v>27.785564516129032</c:v>
                </c:pt>
                <c:pt idx="12">
                  <c:v>29.025376344086023</c:v>
                </c:pt>
                <c:pt idx="13">
                  <c:v>21.998419540229886</c:v>
                </c:pt>
                <c:pt idx="14">
                  <c:v>24.299059139784948</c:v>
                </c:pt>
                <c:pt idx="15">
                  <c:v>24.210125000000001</c:v>
                </c:pt>
                <c:pt idx="16">
                  <c:v>22.550860215053763</c:v>
                </c:pt>
                <c:pt idx="17">
                  <c:v>27.704638888888891</c:v>
                </c:pt>
                <c:pt idx="18">
                  <c:v>27.181115591397848</c:v>
                </c:pt>
                <c:pt idx="19">
                  <c:v>27.181720430107529</c:v>
                </c:pt>
                <c:pt idx="20">
                  <c:v>30.510763888888889</c:v>
                </c:pt>
                <c:pt idx="21">
                  <c:v>37.141760752688171</c:v>
                </c:pt>
                <c:pt idx="22">
                  <c:v>38.213486111111109</c:v>
                </c:pt>
                <c:pt idx="23">
                  <c:v>37.470053763440859</c:v>
                </c:pt>
                <c:pt idx="24">
                  <c:v>52.405147849462367</c:v>
                </c:pt>
                <c:pt idx="25">
                  <c:v>39.68098214285714</c:v>
                </c:pt>
                <c:pt idx="26">
                  <c:v>31.69116935483871</c:v>
                </c:pt>
                <c:pt idx="27">
                  <c:v>28.721180555555556</c:v>
                </c:pt>
                <c:pt idx="28">
                  <c:v>30.61010752688172</c:v>
                </c:pt>
                <c:pt idx="29">
                  <c:v>30.004180555555553</c:v>
                </c:pt>
                <c:pt idx="30">
                  <c:v>33.005577956989249</c:v>
                </c:pt>
                <c:pt idx="31">
                  <c:v>30.855887096774193</c:v>
                </c:pt>
                <c:pt idx="32">
                  <c:v>34.298097222222225</c:v>
                </c:pt>
                <c:pt idx="33">
                  <c:v>28.288655913978491</c:v>
                </c:pt>
                <c:pt idx="34">
                  <c:v>40.379000000000005</c:v>
                </c:pt>
                <c:pt idx="35">
                  <c:v>30.710497311827957</c:v>
                </c:pt>
                <c:pt idx="36">
                  <c:v>29.500860215053763</c:v>
                </c:pt>
                <c:pt idx="37">
                  <c:v>40.122767857142854</c:v>
                </c:pt>
                <c:pt idx="38">
                  <c:v>37.359381720430108</c:v>
                </c:pt>
                <c:pt idx="39">
                  <c:v>31.960750000000001</c:v>
                </c:pt>
                <c:pt idx="40">
                  <c:v>33.658548387096772</c:v>
                </c:pt>
                <c:pt idx="41">
                  <c:v>42.393361111111112</c:v>
                </c:pt>
                <c:pt idx="42">
                  <c:v>49.589704301075265</c:v>
                </c:pt>
                <c:pt idx="43">
                  <c:v>56.215537634408605</c:v>
                </c:pt>
                <c:pt idx="44">
                  <c:v>54.834999999999994</c:v>
                </c:pt>
                <c:pt idx="45">
                  <c:v>53.082123655913975</c:v>
                </c:pt>
                <c:pt idx="46">
                  <c:v>56.680833333333332</c:v>
                </c:pt>
                <c:pt idx="47">
                  <c:v>48.110604838709676</c:v>
                </c:pt>
                <c:pt idx="48">
                  <c:v>49.413844086021506</c:v>
                </c:pt>
                <c:pt idx="49">
                  <c:v>42.814613095238094</c:v>
                </c:pt>
                <c:pt idx="50">
                  <c:v>30.614852150537637</c:v>
                </c:pt>
                <c:pt idx="51">
                  <c:v>36.972819444444447</c:v>
                </c:pt>
                <c:pt idx="52">
                  <c:v>37.83208333333333</c:v>
                </c:pt>
                <c:pt idx="53">
                  <c:v>32.504458333333332</c:v>
                </c:pt>
                <c:pt idx="54">
                  <c:v>39.71306451612903</c:v>
                </c:pt>
                <c:pt idx="55">
                  <c:v>36.818696236559141</c:v>
                </c:pt>
                <c:pt idx="56">
                  <c:v>35.765666666666668</c:v>
                </c:pt>
                <c:pt idx="57">
                  <c:v>36.94754032258065</c:v>
                </c:pt>
                <c:pt idx="58">
                  <c:v>41.00483333333333</c:v>
                </c:pt>
                <c:pt idx="59">
                  <c:v>31.970618279569891</c:v>
                </c:pt>
                <c:pt idx="60">
                  <c:v>34.978709677419353</c:v>
                </c:pt>
                <c:pt idx="61">
                  <c:v>21.911839080459771</c:v>
                </c:pt>
                <c:pt idx="62">
                  <c:v>22.519314516129032</c:v>
                </c:pt>
                <c:pt idx="63">
                  <c:v>17.049194444444446</c:v>
                </c:pt>
                <c:pt idx="64">
                  <c:v>17.604879032258065</c:v>
                </c:pt>
                <c:pt idx="65">
                  <c:v>26.229166666666668</c:v>
                </c:pt>
                <c:pt idx="66">
                  <c:v>30.074946236559139</c:v>
                </c:pt>
                <c:pt idx="67">
                  <c:v>34.88970430107527</c:v>
                </c:pt>
                <c:pt idx="68">
                  <c:v>43.67809722222222</c:v>
                </c:pt>
                <c:pt idx="69">
                  <c:v>33.955900537634406</c:v>
                </c:pt>
                <c:pt idx="70">
                  <c:v>38.796513888888889</c:v>
                </c:pt>
                <c:pt idx="71">
                  <c:v>43.545053763440862</c:v>
                </c:pt>
                <c:pt idx="72">
                  <c:v>52.793198924731179</c:v>
                </c:pt>
                <c:pt idx="73">
                  <c:v>48.706904761904767</c:v>
                </c:pt>
                <c:pt idx="74">
                  <c:v>47.18168010752688</c:v>
                </c:pt>
                <c:pt idx="75">
                  <c:v>53.657152777777782</c:v>
                </c:pt>
                <c:pt idx="76">
                  <c:v>53.331505376344083</c:v>
                </c:pt>
                <c:pt idx="77">
                  <c:v>74.130722222222232</c:v>
                </c:pt>
                <c:pt idx="78">
                  <c:v>81.294892473118281</c:v>
                </c:pt>
                <c:pt idx="79">
                  <c:v>82.811854838709678</c:v>
                </c:pt>
                <c:pt idx="80">
                  <c:v>128.33577777777776</c:v>
                </c:pt>
                <c:pt idx="81">
                  <c:v>139.54338709677418</c:v>
                </c:pt>
                <c:pt idx="82">
                  <c:v>176.24584722222221</c:v>
                </c:pt>
                <c:pt idx="83">
                  <c:v>220.95662634408603</c:v>
                </c:pt>
                <c:pt idx="84">
                  <c:v>167.8745564516129</c:v>
                </c:pt>
                <c:pt idx="85">
                  <c:v>128.77741071428571</c:v>
                </c:pt>
                <c:pt idx="86">
                  <c:v>251.75978494623655</c:v>
                </c:pt>
                <c:pt idx="87">
                  <c:v>166.00181944444444</c:v>
                </c:pt>
                <c:pt idx="88">
                  <c:v>177.50618279569892</c:v>
                </c:pt>
                <c:pt idx="89">
                  <c:v>218.18201388888886</c:v>
                </c:pt>
                <c:pt idx="90">
                  <c:v>315.2624865591398</c:v>
                </c:pt>
                <c:pt idx="91">
                  <c:v>465.51416666666665</c:v>
                </c:pt>
                <c:pt idx="92">
                  <c:v>344.93855555555558</c:v>
                </c:pt>
                <c:pt idx="93">
                  <c:v>152.7453494623656</c:v>
                </c:pt>
                <c:pt idx="94">
                  <c:v>173.928</c:v>
                </c:pt>
                <c:pt idx="95">
                  <c:v>251.21689516129032</c:v>
                </c:pt>
                <c:pt idx="96">
                  <c:v>117.94370967741935</c:v>
                </c:pt>
                <c:pt idx="97">
                  <c:v>128.39092261904761</c:v>
                </c:pt>
                <c:pt idx="98">
                  <c:v>143.39826086956521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3-1640-B09F-F2DD9FF6ED48}"/>
            </c:ext>
          </c:extLst>
        </c:ser>
        <c:ser>
          <c:idx val="1"/>
          <c:order val="1"/>
          <c:tx>
            <c:v>Baseload</c:v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Monthly_Capture!$P$2:$P$99</c:f>
              <c:numCache>
                <c:formatCode>#,##0.00</c:formatCode>
                <c:ptCount val="98"/>
                <c:pt idx="0">
                  <c:v>19.930892486725384</c:v>
                </c:pt>
                <c:pt idx="1">
                  <c:v>31.650071499053141</c:v>
                </c:pt>
                <c:pt idx="2">
                  <c:v>25.313730357161891</c:v>
                </c:pt>
                <c:pt idx="3">
                  <c:v>25.791683564765442</c:v>
                </c:pt>
                <c:pt idx="4">
                  <c:v>22.879116435489255</c:v>
                </c:pt>
                <c:pt idx="5">
                  <c:v>28.098289248430927</c:v>
                </c:pt>
                <c:pt idx="6">
                  <c:v>29.417891434530773</c:v>
                </c:pt>
                <c:pt idx="7">
                  <c:v>29.620586384000358</c:v>
                </c:pt>
                <c:pt idx="8">
                  <c:v>27.807760422513017</c:v>
                </c:pt>
                <c:pt idx="9">
                  <c:v>36.551315440591409</c:v>
                </c:pt>
                <c:pt idx="10">
                  <c:v>26.899353733933069</c:v>
                </c:pt>
                <c:pt idx="11">
                  <c:v>23.806773793573317</c:v>
                </c:pt>
                <c:pt idx="12">
                  <c:v>24.265027696286836</c:v>
                </c:pt>
                <c:pt idx="13">
                  <c:v>18.467784536271111</c:v>
                </c:pt>
                <c:pt idx="14">
                  <c:v>21.180305664067799</c:v>
                </c:pt>
                <c:pt idx="15">
                  <c:v>23.274003897160725</c:v>
                </c:pt>
                <c:pt idx="16">
                  <c:v>18.581852067264276</c:v>
                </c:pt>
                <c:pt idx="17">
                  <c:v>26.542212254982797</c:v>
                </c:pt>
                <c:pt idx="18">
                  <c:v>24.005048273426116</c:v>
                </c:pt>
                <c:pt idx="19">
                  <c:v>25.396035735425823</c:v>
                </c:pt>
                <c:pt idx="20">
                  <c:v>27.557516843585528</c:v>
                </c:pt>
                <c:pt idx="21">
                  <c:v>33.961248502653916</c:v>
                </c:pt>
                <c:pt idx="22">
                  <c:v>33.350638403908498</c:v>
                </c:pt>
                <c:pt idx="23">
                  <c:v>24.058771048507015</c:v>
                </c:pt>
                <c:pt idx="24">
                  <c:v>41.083593724138701</c:v>
                </c:pt>
                <c:pt idx="25">
                  <c:v>32.914939616284379</c:v>
                </c:pt>
                <c:pt idx="26">
                  <c:v>28.773787668066344</c:v>
                </c:pt>
                <c:pt idx="27">
                  <c:v>23.881265093184208</c:v>
                </c:pt>
                <c:pt idx="28">
                  <c:v>26.98919208770997</c:v>
                </c:pt>
                <c:pt idx="29">
                  <c:v>25.648903101199185</c:v>
                </c:pt>
                <c:pt idx="30">
                  <c:v>29.490055630350291</c:v>
                </c:pt>
                <c:pt idx="31">
                  <c:v>27.249543230855409</c:v>
                </c:pt>
                <c:pt idx="32">
                  <c:v>27.785054243119287</c:v>
                </c:pt>
                <c:pt idx="33">
                  <c:v>19.685677586209078</c:v>
                </c:pt>
                <c:pt idx="34">
                  <c:v>31.138104555625031</c:v>
                </c:pt>
                <c:pt idx="35">
                  <c:v>22.202889550960229</c:v>
                </c:pt>
                <c:pt idx="36">
                  <c:v>22.360872256450318</c:v>
                </c:pt>
                <c:pt idx="37">
                  <c:v>35.816106484705664</c:v>
                </c:pt>
                <c:pt idx="38">
                  <c:v>30.150415093565343</c:v>
                </c:pt>
                <c:pt idx="39">
                  <c:v>29.092658077617614</c:v>
                </c:pt>
                <c:pt idx="40">
                  <c:v>28.317595503580673</c:v>
                </c:pt>
                <c:pt idx="41">
                  <c:v>37.53994371699892</c:v>
                </c:pt>
                <c:pt idx="42">
                  <c:v>47.069131050733617</c:v>
                </c:pt>
                <c:pt idx="43">
                  <c:v>52.533508374301249</c:v>
                </c:pt>
                <c:pt idx="44">
                  <c:v>48.321563181305109</c:v>
                </c:pt>
                <c:pt idx="45">
                  <c:v>43.801834670894301</c:v>
                </c:pt>
                <c:pt idx="46">
                  <c:v>52.165484778548816</c:v>
                </c:pt>
                <c:pt idx="47">
                  <c:v>39.846571660810248</c:v>
                </c:pt>
                <c:pt idx="48">
                  <c:v>39.139463202969885</c:v>
                </c:pt>
                <c:pt idx="49">
                  <c:v>38.382389558642295</c:v>
                </c:pt>
                <c:pt idx="50">
                  <c:v>24.702572828445479</c:v>
                </c:pt>
                <c:pt idx="51">
                  <c:v>34.193746549409447</c:v>
                </c:pt>
                <c:pt idx="52">
                  <c:v>35.95684845851514</c:v>
                </c:pt>
                <c:pt idx="53">
                  <c:v>24.475617274826675</c:v>
                </c:pt>
                <c:pt idx="54">
                  <c:v>36.589228599106541</c:v>
                </c:pt>
                <c:pt idx="55">
                  <c:v>30.911286324983148</c:v>
                </c:pt>
                <c:pt idx="56">
                  <c:v>30.957114201209158</c:v>
                </c:pt>
                <c:pt idx="57">
                  <c:v>32.308104030613919</c:v>
                </c:pt>
                <c:pt idx="58">
                  <c:v>37.061588718101632</c:v>
                </c:pt>
                <c:pt idx="59">
                  <c:v>26.513447874043862</c:v>
                </c:pt>
                <c:pt idx="60">
                  <c:v>31.078951824342457</c:v>
                </c:pt>
                <c:pt idx="61">
                  <c:v>17.586208029175982</c:v>
                </c:pt>
                <c:pt idx="62">
                  <c:v>18.506066024876741</c:v>
                </c:pt>
                <c:pt idx="63">
                  <c:v>11.34187471526003</c:v>
                </c:pt>
                <c:pt idx="64">
                  <c:v>13.176301454923406</c:v>
                </c:pt>
                <c:pt idx="65">
                  <c:v>22.369129419074756</c:v>
                </c:pt>
                <c:pt idx="66">
                  <c:v>21.933761447132166</c:v>
                </c:pt>
                <c:pt idx="67">
                  <c:v>30.159623025003782</c:v>
                </c:pt>
                <c:pt idx="68">
                  <c:v>38.074399209623749</c:v>
                </c:pt>
                <c:pt idx="69">
                  <c:v>30.066528460105548</c:v>
                </c:pt>
                <c:pt idx="70">
                  <c:v>32.210488854695726</c:v>
                </c:pt>
                <c:pt idx="71">
                  <c:v>33.825166336876727</c:v>
                </c:pt>
                <c:pt idx="72">
                  <c:v>46.694477907081833</c:v>
                </c:pt>
                <c:pt idx="73">
                  <c:v>43.974245449733758</c:v>
                </c:pt>
                <c:pt idx="74">
                  <c:v>35.119978098676846</c:v>
                </c:pt>
                <c:pt idx="75">
                  <c:v>45.013482505084468</c:v>
                </c:pt>
                <c:pt idx="76">
                  <c:v>43.33154342530085</c:v>
                </c:pt>
                <c:pt idx="77">
                  <c:v>64.264930032343784</c:v>
                </c:pt>
                <c:pt idx="78">
                  <c:v>69.537887320120277</c:v>
                </c:pt>
                <c:pt idx="79">
                  <c:v>73.802936298975894</c:v>
                </c:pt>
                <c:pt idx="80">
                  <c:v>118.141462741116</c:v>
                </c:pt>
                <c:pt idx="81">
                  <c:v>111.87930560748183</c:v>
                </c:pt>
                <c:pt idx="82">
                  <c:v>142.81921487769483</c:v>
                </c:pt>
                <c:pt idx="83">
                  <c:v>164.84318257658856</c:v>
                </c:pt>
                <c:pt idx="84">
                  <c:v>132.34565775705471</c:v>
                </c:pt>
                <c:pt idx="85">
                  <c:v>110.47768378334344</c:v>
                </c:pt>
                <c:pt idx="86">
                  <c:v>205.69326438341571</c:v>
                </c:pt>
                <c:pt idx="87">
                  <c:v>131.26743492591882</c:v>
                </c:pt>
                <c:pt idx="88">
                  <c:v>140.25953728038129</c:v>
                </c:pt>
                <c:pt idx="89">
                  <c:v>199.10016041316189</c:v>
                </c:pt>
                <c:pt idx="90">
                  <c:v>283.46219815769751</c:v>
                </c:pt>
                <c:pt idx="91">
                  <c:v>462.54630542445369</c:v>
                </c:pt>
                <c:pt idx="92">
                  <c:v>286.88310857251167</c:v>
                </c:pt>
                <c:pt idx="93">
                  <c:v>129.54244824791067</c:v>
                </c:pt>
                <c:pt idx="94">
                  <c:v>138.94836491009337</c:v>
                </c:pt>
                <c:pt idx="95">
                  <c:v>153.26130548167023</c:v>
                </c:pt>
                <c:pt idx="96">
                  <c:v>90.147405308286039</c:v>
                </c:pt>
                <c:pt idx="97">
                  <c:v>106.77689586597188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3-1640-B09F-F2DD9FF6ED48}"/>
            </c:ext>
          </c:extLst>
        </c:ser>
        <c:ser>
          <c:idx val="2"/>
          <c:order val="2"/>
          <c:tx>
            <c:v>Offshore</c:v>
          </c:tx>
          <c:spPr>
            <a:ln w="28440" cap="rnd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Monthly_Capture!$Q$2:$Q$99</c:f>
              <c:numCache>
                <c:formatCode>#,##0.00</c:formatCode>
                <c:ptCount val="98"/>
                <c:pt idx="0">
                  <c:v>23.27314213445932</c:v>
                </c:pt>
                <c:pt idx="1">
                  <c:v>33.617414743944501</c:v>
                </c:pt>
                <c:pt idx="2">
                  <c:v>28.118483939496695</c:v>
                </c:pt>
                <c:pt idx="3">
                  <c:v>27.23232237617971</c:v>
                </c:pt>
                <c:pt idx="4">
                  <c:v>23.947501039851012</c:v>
                </c:pt>
                <c:pt idx="5">
                  <c:v>28.677376665383647</c:v>
                </c:pt>
                <c:pt idx="6">
                  <c:v>30.986878623091773</c:v>
                </c:pt>
                <c:pt idx="7">
                  <c:v>30.037827091789946</c:v>
                </c:pt>
                <c:pt idx="8">
                  <c:v>30.179260077589962</c:v>
                </c:pt>
                <c:pt idx="9">
                  <c:v>38.246200014816338</c:v>
                </c:pt>
                <c:pt idx="10">
                  <c:v>29.982343573823872</c:v>
                </c:pt>
                <c:pt idx="11">
                  <c:v>25.859607899632927</c:v>
                </c:pt>
                <c:pt idx="12">
                  <c:v>26.369567561285866</c:v>
                </c:pt>
                <c:pt idx="13">
                  <c:v>19.578993252837932</c:v>
                </c:pt>
                <c:pt idx="14">
                  <c:v>21.669139870184441</c:v>
                </c:pt>
                <c:pt idx="15">
                  <c:v>23.40215759116878</c:v>
                </c:pt>
                <c:pt idx="16">
                  <c:v>20.04159184562921</c:v>
                </c:pt>
                <c:pt idx="17">
                  <c:v>26.534204194528883</c:v>
                </c:pt>
                <c:pt idx="18">
                  <c:v>24.048033184708856</c:v>
                </c:pt>
                <c:pt idx="19">
                  <c:v>25.368900968399696</c:v>
                </c:pt>
                <c:pt idx="20">
                  <c:v>28.109711475584298</c:v>
                </c:pt>
                <c:pt idx="21">
                  <c:v>35.757531783591283</c:v>
                </c:pt>
                <c:pt idx="22">
                  <c:v>34.535894159715816</c:v>
                </c:pt>
                <c:pt idx="23">
                  <c:v>31.078384569566346</c:v>
                </c:pt>
                <c:pt idx="24">
                  <c:v>44.909328734360521</c:v>
                </c:pt>
                <c:pt idx="25">
                  <c:v>37.697787569415645</c:v>
                </c:pt>
                <c:pt idx="26">
                  <c:v>30.466809207047074</c:v>
                </c:pt>
                <c:pt idx="27">
                  <c:v>24.729926937270168</c:v>
                </c:pt>
                <c:pt idx="28">
                  <c:v>28.468016466451715</c:v>
                </c:pt>
                <c:pt idx="29">
                  <c:v>26.033907979606074</c:v>
                </c:pt>
                <c:pt idx="30">
                  <c:v>30.026173093565454</c:v>
                </c:pt>
                <c:pt idx="31">
                  <c:v>27.087423470135736</c:v>
                </c:pt>
                <c:pt idx="32">
                  <c:v>30.446134470837475</c:v>
                </c:pt>
                <c:pt idx="33">
                  <c:v>26.061082560068655</c:v>
                </c:pt>
                <c:pt idx="34">
                  <c:v>33.108578766486033</c:v>
                </c:pt>
                <c:pt idx="35">
                  <c:v>25.443398988829038</c:v>
                </c:pt>
                <c:pt idx="36">
                  <c:v>25.676956763052644</c:v>
                </c:pt>
                <c:pt idx="37">
                  <c:v>36.818366287441215</c:v>
                </c:pt>
                <c:pt idx="38">
                  <c:v>33.950748484955731</c:v>
                </c:pt>
                <c:pt idx="39">
                  <c:v>31.044390992496343</c:v>
                </c:pt>
                <c:pt idx="40">
                  <c:v>32.002455478203323</c:v>
                </c:pt>
                <c:pt idx="41">
                  <c:v>38.535118943571</c:v>
                </c:pt>
                <c:pt idx="42">
                  <c:v>47.680339440707236</c:v>
                </c:pt>
                <c:pt idx="43">
                  <c:v>52.623660268353987</c:v>
                </c:pt>
                <c:pt idx="44">
                  <c:v>51.258103491645109</c:v>
                </c:pt>
                <c:pt idx="45">
                  <c:v>49.372911751947228</c:v>
                </c:pt>
                <c:pt idx="46">
                  <c:v>54.326429815486179</c:v>
                </c:pt>
                <c:pt idx="47">
                  <c:v>44.67738449458254</c:v>
                </c:pt>
                <c:pt idx="48">
                  <c:v>45.644667829012462</c:v>
                </c:pt>
                <c:pt idx="49">
                  <c:v>41.953932345473241</c:v>
                </c:pt>
                <c:pt idx="50">
                  <c:v>27.630201742994107</c:v>
                </c:pt>
                <c:pt idx="51">
                  <c:v>35.269011156761209</c:v>
                </c:pt>
                <c:pt idx="52">
                  <c:v>35.52944224126361</c:v>
                </c:pt>
                <c:pt idx="53">
                  <c:v>27.647026945716281</c:v>
                </c:pt>
                <c:pt idx="54">
                  <c:v>36.449138916423756</c:v>
                </c:pt>
                <c:pt idx="55">
                  <c:v>32.310134391330962</c:v>
                </c:pt>
                <c:pt idx="56">
                  <c:v>33.45978039325847</c:v>
                </c:pt>
                <c:pt idx="57">
                  <c:v>33.312661278125283</c:v>
                </c:pt>
                <c:pt idx="58">
                  <c:v>38.359617359088347</c:v>
                </c:pt>
                <c:pt idx="59">
                  <c:v>30.267360676659401</c:v>
                </c:pt>
                <c:pt idx="60">
                  <c:v>33.701165123218402</c:v>
                </c:pt>
                <c:pt idx="61">
                  <c:v>20.264270006780144</c:v>
                </c:pt>
                <c:pt idx="62">
                  <c:v>19.467101768889208</c:v>
                </c:pt>
                <c:pt idx="63">
                  <c:v>13.190534479068381</c:v>
                </c:pt>
                <c:pt idx="64">
                  <c:v>14.179888761668522</c:v>
                </c:pt>
                <c:pt idx="65">
                  <c:v>22.399269328199413</c:v>
                </c:pt>
                <c:pt idx="66">
                  <c:v>24.134928449530893</c:v>
                </c:pt>
                <c:pt idx="67">
                  <c:v>32.025034518782391</c:v>
                </c:pt>
                <c:pt idx="68">
                  <c:v>38.420090246687849</c:v>
                </c:pt>
                <c:pt idx="69">
                  <c:v>31.715365872719502</c:v>
                </c:pt>
                <c:pt idx="70">
                  <c:v>35.240720821014158</c:v>
                </c:pt>
                <c:pt idx="71">
                  <c:v>39.890149865797362</c:v>
                </c:pt>
                <c:pt idx="72">
                  <c:v>48.931820370686239</c:v>
                </c:pt>
                <c:pt idx="73">
                  <c:v>47.457541815779699</c:v>
                </c:pt>
                <c:pt idx="74">
                  <c:v>39.736684819113719</c:v>
                </c:pt>
                <c:pt idx="75">
                  <c:v>46.908084528550489</c:v>
                </c:pt>
                <c:pt idx="76">
                  <c:v>41.697383091130938</c:v>
                </c:pt>
                <c:pt idx="77">
                  <c:v>69.467265832977603</c:v>
                </c:pt>
                <c:pt idx="78">
                  <c:v>73.562414087832437</c:v>
                </c:pt>
                <c:pt idx="79">
                  <c:v>76.708333459564258</c:v>
                </c:pt>
                <c:pt idx="80">
                  <c:v>125.42235795435279</c:v>
                </c:pt>
                <c:pt idx="81">
                  <c:v>128.51543365775819</c:v>
                </c:pt>
                <c:pt idx="82">
                  <c:v>159.33008214786122</c:v>
                </c:pt>
                <c:pt idx="83">
                  <c:v>189.3416711496258</c:v>
                </c:pt>
                <c:pt idx="84">
                  <c:v>148.92021102834704</c:v>
                </c:pt>
                <c:pt idx="85">
                  <c:v>123.72561837685119</c:v>
                </c:pt>
                <c:pt idx="86">
                  <c:v>221.47367554235126</c:v>
                </c:pt>
                <c:pt idx="87">
                  <c:v>140.87907443085729</c:v>
                </c:pt>
                <c:pt idx="88">
                  <c:v>148.90678687499678</c:v>
                </c:pt>
                <c:pt idx="89">
                  <c:v>197.97393292145418</c:v>
                </c:pt>
                <c:pt idx="90">
                  <c:v>294.73977704016158</c:v>
                </c:pt>
                <c:pt idx="91">
                  <c:v>476.92188622903689</c:v>
                </c:pt>
                <c:pt idx="92">
                  <c:v>305.06607908174868</c:v>
                </c:pt>
                <c:pt idx="93">
                  <c:v>141.35686443799591</c:v>
                </c:pt>
                <c:pt idx="94">
                  <c:v>151.94242082512383</c:v>
                </c:pt>
                <c:pt idx="95">
                  <c:v>214.77714295062938</c:v>
                </c:pt>
                <c:pt idx="96">
                  <c:v>102.0992303555293</c:v>
                </c:pt>
                <c:pt idx="97">
                  <c:v>117.85957692029625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3-1640-B09F-F2DD9FF6ED48}"/>
            </c:ext>
          </c:extLst>
        </c:ser>
        <c:ser>
          <c:idx val="3"/>
          <c:order val="3"/>
          <c:tx>
            <c:v>Solar</c:v>
          </c:tx>
          <c:spPr>
            <a:ln w="28440" cap="rnd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Monthly_Capture!$R$2:$R$99</c:f>
              <c:numCache>
                <c:formatCode>#,##0.00</c:formatCode>
                <c:ptCount val="98"/>
                <c:pt idx="0">
                  <c:v>30.757082611558243</c:v>
                </c:pt>
                <c:pt idx="1">
                  <c:v>37.300350769076744</c:v>
                </c:pt>
                <c:pt idx="2">
                  <c:v>30.542750321860229</c:v>
                </c:pt>
                <c:pt idx="3">
                  <c:v>26.397712211938916</c:v>
                </c:pt>
                <c:pt idx="4">
                  <c:v>25.103875630441543</c:v>
                </c:pt>
                <c:pt idx="5">
                  <c:v>30.452587913444699</c:v>
                </c:pt>
                <c:pt idx="6">
                  <c:v>35.345032875933221</c:v>
                </c:pt>
                <c:pt idx="7">
                  <c:v>30.664774769061832</c:v>
                </c:pt>
                <c:pt idx="8">
                  <c:v>31.449883190155671</c:v>
                </c:pt>
                <c:pt idx="9">
                  <c:v>37.492783291881821</c:v>
                </c:pt>
                <c:pt idx="10">
                  <c:v>34.694933112769824</c:v>
                </c:pt>
                <c:pt idx="11">
                  <c:v>29.104466342393803</c:v>
                </c:pt>
                <c:pt idx="12">
                  <c:v>32.243616328087029</c:v>
                </c:pt>
                <c:pt idx="13">
                  <c:v>24.059426432872119</c:v>
                </c:pt>
                <c:pt idx="14">
                  <c:v>23.053656415563868</c:v>
                </c:pt>
                <c:pt idx="15">
                  <c:v>23.439958692399394</c:v>
                </c:pt>
                <c:pt idx="16">
                  <c:v>18.877019800275185</c:v>
                </c:pt>
                <c:pt idx="17">
                  <c:v>28.064333677973355</c:v>
                </c:pt>
                <c:pt idx="18">
                  <c:v>26.640363452638152</c:v>
                </c:pt>
                <c:pt idx="19">
                  <c:v>26.126324010917571</c:v>
                </c:pt>
                <c:pt idx="20">
                  <c:v>29.749827479033833</c:v>
                </c:pt>
                <c:pt idx="21">
                  <c:v>37.714418844387545</c:v>
                </c:pt>
                <c:pt idx="22">
                  <c:v>40.467936943527171</c:v>
                </c:pt>
                <c:pt idx="23">
                  <c:v>43.629077467991124</c:v>
                </c:pt>
                <c:pt idx="24">
                  <c:v>56.984379321217588</c:v>
                </c:pt>
                <c:pt idx="25">
                  <c:v>41.554166198082221</c:v>
                </c:pt>
                <c:pt idx="26">
                  <c:v>30.765639528558001</c:v>
                </c:pt>
                <c:pt idx="27">
                  <c:v>25.238793413543402</c:v>
                </c:pt>
                <c:pt idx="28">
                  <c:v>29.837596240346496</c:v>
                </c:pt>
                <c:pt idx="29">
                  <c:v>29.421876527254568</c:v>
                </c:pt>
                <c:pt idx="30">
                  <c:v>32.295326473426478</c:v>
                </c:pt>
                <c:pt idx="31">
                  <c:v>30.206754847103173</c:v>
                </c:pt>
                <c:pt idx="32">
                  <c:v>35.554752479652521</c:v>
                </c:pt>
                <c:pt idx="33">
                  <c:v>29.158653840872997</c:v>
                </c:pt>
                <c:pt idx="34">
                  <c:v>42.969571993300661</c:v>
                </c:pt>
                <c:pt idx="35">
                  <c:v>32.946136763782093</c:v>
                </c:pt>
                <c:pt idx="36">
                  <c:v>34.409005515687056</c:v>
                </c:pt>
                <c:pt idx="37">
                  <c:v>40.40077963218716</c:v>
                </c:pt>
                <c:pt idx="38">
                  <c:v>37.011603577930011</c:v>
                </c:pt>
                <c:pt idx="39">
                  <c:v>29.542022391532598</c:v>
                </c:pt>
                <c:pt idx="40">
                  <c:v>31.872793026106578</c:v>
                </c:pt>
                <c:pt idx="41">
                  <c:v>42.517011366532898</c:v>
                </c:pt>
                <c:pt idx="42">
                  <c:v>48.992517645113068</c:v>
                </c:pt>
                <c:pt idx="43">
                  <c:v>55.955548327067063</c:v>
                </c:pt>
                <c:pt idx="44">
                  <c:v>52.111596253744786</c:v>
                </c:pt>
                <c:pt idx="45">
                  <c:v>53.280863147169633</c:v>
                </c:pt>
                <c:pt idx="46">
                  <c:v>59.688310260564933</c:v>
                </c:pt>
                <c:pt idx="47">
                  <c:v>56.158003715714763</c:v>
                </c:pt>
                <c:pt idx="48">
                  <c:v>59.140795775692503</c:v>
                </c:pt>
                <c:pt idx="49">
                  <c:v>42.13037467702766</c:v>
                </c:pt>
                <c:pt idx="50">
                  <c:v>30.79334731690156</c:v>
                </c:pt>
                <c:pt idx="51">
                  <c:v>31.760245634603301</c:v>
                </c:pt>
                <c:pt idx="52">
                  <c:v>35.32319047970271</c:v>
                </c:pt>
                <c:pt idx="53">
                  <c:v>29.107201605923603</c:v>
                </c:pt>
                <c:pt idx="54">
                  <c:v>39.173887015944537</c:v>
                </c:pt>
                <c:pt idx="55">
                  <c:v>33.784248816487668</c:v>
                </c:pt>
                <c:pt idx="56">
                  <c:v>33.452993663167454</c:v>
                </c:pt>
                <c:pt idx="57">
                  <c:v>37.838896578377721</c:v>
                </c:pt>
                <c:pt idx="58">
                  <c:v>43.768336746678237</c:v>
                </c:pt>
                <c:pt idx="59">
                  <c:v>36.966038908730219</c:v>
                </c:pt>
                <c:pt idx="60">
                  <c:v>38.301080079923409</c:v>
                </c:pt>
                <c:pt idx="61">
                  <c:v>23.21965779879492</c:v>
                </c:pt>
                <c:pt idx="62">
                  <c:v>16.220681945798926</c:v>
                </c:pt>
                <c:pt idx="63">
                  <c:v>8.9716643738441277</c:v>
                </c:pt>
                <c:pt idx="64">
                  <c:v>14.136998490447185</c:v>
                </c:pt>
                <c:pt idx="65">
                  <c:v>24.73295197092418</c:v>
                </c:pt>
                <c:pt idx="66">
                  <c:v>26.253791866476099</c:v>
                </c:pt>
                <c:pt idx="67">
                  <c:v>33.205467855085622</c:v>
                </c:pt>
                <c:pt idx="68">
                  <c:v>39.800564779015104</c:v>
                </c:pt>
                <c:pt idx="69">
                  <c:v>32.667073088229252</c:v>
                </c:pt>
                <c:pt idx="70">
                  <c:v>39.980384869612145</c:v>
                </c:pt>
                <c:pt idx="71">
                  <c:v>48.062941026839646</c:v>
                </c:pt>
                <c:pt idx="72">
                  <c:v>55.626467177964045</c:v>
                </c:pt>
                <c:pt idx="73">
                  <c:v>44.970762291032813</c:v>
                </c:pt>
                <c:pt idx="74">
                  <c:v>41.071714237603544</c:v>
                </c:pt>
                <c:pt idx="75">
                  <c:v>45.533264869264571</c:v>
                </c:pt>
                <c:pt idx="76">
                  <c:v>41.984094246983673</c:v>
                </c:pt>
                <c:pt idx="77">
                  <c:v>68.666349423295429</c:v>
                </c:pt>
                <c:pt idx="78">
                  <c:v>74.156538157839933</c:v>
                </c:pt>
                <c:pt idx="79">
                  <c:v>76.87383014311348</c:v>
                </c:pt>
                <c:pt idx="80">
                  <c:v>117.15573875164908</c:v>
                </c:pt>
                <c:pt idx="81">
                  <c:v>128.02866623276526</c:v>
                </c:pt>
                <c:pt idx="82">
                  <c:v>182.9926985641977</c:v>
                </c:pt>
                <c:pt idx="83">
                  <c:v>270.9015677821555</c:v>
                </c:pt>
                <c:pt idx="84">
                  <c:v>179.83716065475019</c:v>
                </c:pt>
                <c:pt idx="85">
                  <c:v>118.72302539487572</c:v>
                </c:pt>
                <c:pt idx="86">
                  <c:v>207.56626894192678</c:v>
                </c:pt>
                <c:pt idx="87">
                  <c:v>145.99445209981241</c:v>
                </c:pt>
                <c:pt idx="88">
                  <c:v>151.68137679019665</c:v>
                </c:pt>
                <c:pt idx="89">
                  <c:v>189.80218064906796</c:v>
                </c:pt>
                <c:pt idx="90">
                  <c:v>261.07942626910261</c:v>
                </c:pt>
                <c:pt idx="91">
                  <c:v>399.4491335715133</c:v>
                </c:pt>
                <c:pt idx="92">
                  <c:v>316.95848409623716</c:v>
                </c:pt>
                <c:pt idx="93">
                  <c:v>129.08890517508405</c:v>
                </c:pt>
                <c:pt idx="94">
                  <c:v>153.7041753092561</c:v>
                </c:pt>
                <c:pt idx="95">
                  <c:v>247.22248701913691</c:v>
                </c:pt>
                <c:pt idx="96">
                  <c:v>122.91041819013486</c:v>
                </c:pt>
                <c:pt idx="97">
                  <c:v>122.76202684637683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43-1640-B09F-F2DD9FF6E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361512"/>
        <c:axId val="58188755"/>
      </c:lineChart>
      <c:catAx>
        <c:axId val="82361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58188755"/>
        <c:crosses val="autoZero"/>
        <c:auto val="1"/>
        <c:lblAlgn val="ctr"/>
        <c:lblOffset val="100"/>
        <c:noMultiLvlLbl val="0"/>
      </c:catAx>
      <c:valAx>
        <c:axId val="5818875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en-US"/>
          </a:p>
        </c:txPr>
        <c:crossAx val="823615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9395575627957302"/>
          <c:y val="1.6232928733264901E-2"/>
          <c:w val="6.5366652803733896E-2"/>
          <c:h val="0.2111383732964350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430200</xdr:colOff>
      <xdr:row>19</xdr:row>
      <xdr:rowOff>187200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8</xdr:col>
      <xdr:colOff>430200</xdr:colOff>
      <xdr:row>45</xdr:row>
      <xdr:rowOff>187560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55</xdr:row>
      <xdr:rowOff>0</xdr:rowOff>
    </xdr:from>
    <xdr:to>
      <xdr:col>8</xdr:col>
      <xdr:colOff>430200</xdr:colOff>
      <xdr:row>71</xdr:row>
      <xdr:rowOff>187200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81</xdr:row>
      <xdr:rowOff>0</xdr:rowOff>
    </xdr:from>
    <xdr:to>
      <xdr:col>8</xdr:col>
      <xdr:colOff>430200</xdr:colOff>
      <xdr:row>97</xdr:row>
      <xdr:rowOff>187200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107</xdr:row>
      <xdr:rowOff>0</xdr:rowOff>
    </xdr:from>
    <xdr:to>
      <xdr:col>8</xdr:col>
      <xdr:colOff>430200</xdr:colOff>
      <xdr:row>123</xdr:row>
      <xdr:rowOff>187200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133</xdr:row>
      <xdr:rowOff>0</xdr:rowOff>
    </xdr:from>
    <xdr:to>
      <xdr:col>8</xdr:col>
      <xdr:colOff>430200</xdr:colOff>
      <xdr:row>149</xdr:row>
      <xdr:rowOff>186840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159</xdr:row>
      <xdr:rowOff>0</xdr:rowOff>
    </xdr:from>
    <xdr:to>
      <xdr:col>8</xdr:col>
      <xdr:colOff>430200</xdr:colOff>
      <xdr:row>175</xdr:row>
      <xdr:rowOff>187560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185</xdr:row>
      <xdr:rowOff>0</xdr:rowOff>
    </xdr:from>
    <xdr:to>
      <xdr:col>8</xdr:col>
      <xdr:colOff>430200</xdr:colOff>
      <xdr:row>201</xdr:row>
      <xdr:rowOff>187200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211</xdr:row>
      <xdr:rowOff>0</xdr:rowOff>
    </xdr:from>
    <xdr:to>
      <xdr:col>8</xdr:col>
      <xdr:colOff>430200</xdr:colOff>
      <xdr:row>227</xdr:row>
      <xdr:rowOff>187560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237</xdr:row>
      <xdr:rowOff>0</xdr:rowOff>
    </xdr:from>
    <xdr:to>
      <xdr:col>8</xdr:col>
      <xdr:colOff>431640</xdr:colOff>
      <xdr:row>253</xdr:row>
      <xdr:rowOff>161640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263</xdr:row>
      <xdr:rowOff>0</xdr:rowOff>
    </xdr:from>
    <xdr:to>
      <xdr:col>8</xdr:col>
      <xdr:colOff>431640</xdr:colOff>
      <xdr:row>279</xdr:row>
      <xdr:rowOff>188640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139680</xdr:colOff>
      <xdr:row>15</xdr:row>
      <xdr:rowOff>0</xdr:rowOff>
    </xdr:from>
    <xdr:to>
      <xdr:col>14</xdr:col>
      <xdr:colOff>980640</xdr:colOff>
      <xdr:row>38</xdr:row>
      <xdr:rowOff>109440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592560</xdr:colOff>
      <xdr:row>104</xdr:row>
      <xdr:rowOff>171360</xdr:rowOff>
    </xdr:from>
    <xdr:to>
      <xdr:col>21</xdr:col>
      <xdr:colOff>37080</xdr:colOff>
      <xdr:row>124</xdr:row>
      <xdr:rowOff>162720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940B"/>
  </sheetPr>
  <dimension ref="A1:B29"/>
  <sheetViews>
    <sheetView zoomScale="113" zoomScaleNormal="183" workbookViewId="0">
      <selection activeCell="B8" sqref="B8"/>
    </sheetView>
  </sheetViews>
  <sheetFormatPr baseColWidth="10" defaultColWidth="8.6640625" defaultRowHeight="15" x14ac:dyDescent="0.2"/>
  <cols>
    <col min="1" max="1" width="43.1640625" customWidth="1"/>
    <col min="2" max="2" width="110" customWidth="1"/>
  </cols>
  <sheetData>
    <row r="1" spans="1:2" ht="19.5" customHeight="1" x14ac:dyDescent="0.2">
      <c r="A1" s="15" t="s">
        <v>0</v>
      </c>
    </row>
    <row r="2" spans="1:2" ht="15" customHeight="1" x14ac:dyDescent="0.2">
      <c r="A2" s="16" t="s">
        <v>1</v>
      </c>
    </row>
    <row r="3" spans="1:2" ht="15" customHeight="1" x14ac:dyDescent="0.2">
      <c r="A3" s="16"/>
      <c r="B3" s="17"/>
    </row>
    <row r="4" spans="1:2" ht="66" customHeight="1" x14ac:dyDescent="0.2">
      <c r="A4" s="18" t="s">
        <v>2</v>
      </c>
      <c r="B4" s="17" t="s">
        <v>3</v>
      </c>
    </row>
    <row r="5" spans="1:2" ht="15" customHeight="1" x14ac:dyDescent="0.2">
      <c r="A5" s="16"/>
      <c r="B5" s="17"/>
    </row>
    <row r="6" spans="1:2" ht="15" customHeight="1" x14ac:dyDescent="0.2">
      <c r="A6" s="18" t="s">
        <v>4</v>
      </c>
      <c r="B6" s="17"/>
    </row>
    <row r="7" spans="1:2" ht="63" customHeight="1" x14ac:dyDescent="0.2">
      <c r="A7" s="16" t="s">
        <v>5</v>
      </c>
      <c r="B7" s="17" t="s">
        <v>6</v>
      </c>
    </row>
    <row r="8" spans="1:2" ht="15" customHeight="1" x14ac:dyDescent="0.2">
      <c r="A8" s="16" t="s">
        <v>7</v>
      </c>
      <c r="B8" s="17" t="s">
        <v>8</v>
      </c>
    </row>
    <row r="9" spans="1:2" ht="15" customHeight="1" x14ac:dyDescent="0.2">
      <c r="A9" s="16" t="s">
        <v>9</v>
      </c>
      <c r="B9" s="17" t="s">
        <v>10</v>
      </c>
    </row>
    <row r="10" spans="1:2" ht="48.75" customHeight="1" x14ac:dyDescent="0.2">
      <c r="A10" s="16" t="s">
        <v>11</v>
      </c>
      <c r="B10" s="17" t="s">
        <v>12</v>
      </c>
    </row>
    <row r="11" spans="1:2" ht="15" customHeight="1" x14ac:dyDescent="0.2">
      <c r="A11" s="16" t="s">
        <v>13</v>
      </c>
      <c r="B11" s="17" t="s">
        <v>14</v>
      </c>
    </row>
    <row r="12" spans="1:2" ht="15" customHeight="1" x14ac:dyDescent="0.2">
      <c r="A12" s="16" t="s">
        <v>15</v>
      </c>
      <c r="B12" s="17" t="s">
        <v>16</v>
      </c>
    </row>
    <row r="13" spans="1:2" ht="15" customHeight="1" x14ac:dyDescent="0.2">
      <c r="A13" s="18" t="s">
        <v>17</v>
      </c>
      <c r="B13" s="17"/>
    </row>
    <row r="14" spans="1:2" ht="15" customHeight="1" x14ac:dyDescent="0.2">
      <c r="A14" s="16" t="s">
        <v>18</v>
      </c>
      <c r="B14" s="17" t="s">
        <v>19</v>
      </c>
    </row>
    <row r="15" spans="1:2" ht="15" customHeight="1" x14ac:dyDescent="0.2">
      <c r="A15" s="16" t="s">
        <v>20</v>
      </c>
      <c r="B15" s="17" t="s">
        <v>21</v>
      </c>
    </row>
    <row r="16" spans="1:2" ht="15" customHeight="1" x14ac:dyDescent="0.2">
      <c r="A16" s="16" t="s">
        <v>22</v>
      </c>
      <c r="B16" s="17" t="s">
        <v>23</v>
      </c>
    </row>
    <row r="17" spans="1:2" ht="15" customHeight="1" x14ac:dyDescent="0.2">
      <c r="A17" s="16" t="s">
        <v>24</v>
      </c>
      <c r="B17" s="17" t="s">
        <v>25</v>
      </c>
    </row>
    <row r="18" spans="1:2" ht="15" customHeight="1" x14ac:dyDescent="0.2">
      <c r="A18" s="16" t="s">
        <v>26</v>
      </c>
      <c r="B18" s="17" t="s">
        <v>27</v>
      </c>
    </row>
    <row r="19" spans="1:2" ht="15" customHeight="1" x14ac:dyDescent="0.2">
      <c r="A19" s="18" t="s">
        <v>28</v>
      </c>
      <c r="B19" s="17" t="s">
        <v>29</v>
      </c>
    </row>
    <row r="20" spans="1:2" ht="15" customHeight="1" x14ac:dyDescent="0.2">
      <c r="A20" s="16" t="s">
        <v>30</v>
      </c>
      <c r="B20" s="17" t="s">
        <v>31</v>
      </c>
    </row>
    <row r="21" spans="1:2" ht="15" customHeight="1" x14ac:dyDescent="0.2">
      <c r="A21" s="16" t="s">
        <v>32</v>
      </c>
      <c r="B21" s="17" t="s">
        <v>33</v>
      </c>
    </row>
    <row r="22" spans="1:2" ht="15" customHeight="1" x14ac:dyDescent="0.2">
      <c r="A22" s="16" t="s">
        <v>34</v>
      </c>
      <c r="B22" s="17" t="s">
        <v>35</v>
      </c>
    </row>
    <row r="23" spans="1:2" ht="52.5" customHeight="1" x14ac:dyDescent="0.2">
      <c r="A23" s="16" t="s">
        <v>36</v>
      </c>
      <c r="B23" s="17" t="s">
        <v>37</v>
      </c>
    </row>
    <row r="24" spans="1:2" ht="15" customHeight="1" x14ac:dyDescent="0.2">
      <c r="A24" t="s">
        <v>38</v>
      </c>
      <c r="B24" t="s">
        <v>39</v>
      </c>
    </row>
    <row r="25" spans="1:2" ht="15" customHeight="1" x14ac:dyDescent="0.2">
      <c r="A25" t="s">
        <v>40</v>
      </c>
      <c r="B25" t="s">
        <v>41</v>
      </c>
    </row>
    <row r="26" spans="1:2" ht="15" customHeight="1" x14ac:dyDescent="0.2">
      <c r="A26" t="s">
        <v>42</v>
      </c>
      <c r="B26" t="s">
        <v>43</v>
      </c>
    </row>
    <row r="27" spans="1:2" ht="15" customHeight="1" x14ac:dyDescent="0.2"/>
    <row r="28" spans="1:2" ht="15" customHeight="1" x14ac:dyDescent="0.2"/>
    <row r="29" spans="1:2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86"/>
  <sheetViews>
    <sheetView showGridLines="0" topLeftCell="A179" zoomScale="87" zoomScaleNormal="167" workbookViewId="0">
      <selection activeCell="O1" sqref="O1:O1048576"/>
    </sheetView>
  </sheetViews>
  <sheetFormatPr baseColWidth="10" defaultColWidth="8.6640625" defaultRowHeight="15" x14ac:dyDescent="0.2"/>
  <cols>
    <col min="1" max="28" width="12" customWidth="1"/>
  </cols>
  <sheetData>
    <row r="1" spans="1:23" ht="21.75" customHeight="1" x14ac:dyDescent="0.3">
      <c r="A1" s="11" t="s">
        <v>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23" ht="17.25" customHeight="1" x14ac:dyDescent="0.25">
      <c r="A2" s="14" t="s">
        <v>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23" ht="15" customHeight="1" x14ac:dyDescent="0.2">
      <c r="O4" s="12"/>
      <c r="P4" s="12"/>
      <c r="Q4" s="12"/>
      <c r="R4" s="12"/>
      <c r="S4" s="12"/>
      <c r="T4" s="12"/>
      <c r="U4" s="12"/>
      <c r="V4" s="12"/>
      <c r="W4" s="12"/>
    </row>
    <row r="5" spans="1:23" ht="15" customHeight="1" x14ac:dyDescent="0.2">
      <c r="O5" s="12"/>
      <c r="P5" s="12"/>
      <c r="Q5" s="12"/>
      <c r="R5" s="12"/>
      <c r="S5" s="12"/>
      <c r="T5" s="12"/>
      <c r="U5" s="12"/>
      <c r="V5" s="12"/>
      <c r="W5" s="12"/>
    </row>
    <row r="6" spans="1:23" ht="15" customHeight="1" x14ac:dyDescent="0.2">
      <c r="O6" s="12"/>
      <c r="P6" s="12"/>
      <c r="Q6" s="12"/>
      <c r="R6" s="12"/>
      <c r="S6" s="12"/>
      <c r="T6" s="12"/>
      <c r="U6" s="12"/>
      <c r="V6" s="12"/>
      <c r="W6" s="12"/>
    </row>
    <row r="7" spans="1:23" ht="15" customHeight="1" x14ac:dyDescent="0.2">
      <c r="O7" s="12"/>
      <c r="P7" s="12"/>
      <c r="Q7" s="12"/>
      <c r="R7" s="12"/>
      <c r="S7" s="12"/>
      <c r="T7" s="12"/>
      <c r="U7" s="12"/>
      <c r="V7" s="12"/>
      <c r="W7" s="12"/>
    </row>
    <row r="8" spans="1:23" ht="15" customHeight="1" x14ac:dyDescent="0.2">
      <c r="O8" s="12"/>
      <c r="P8" s="12"/>
      <c r="Q8" s="12"/>
      <c r="R8" s="12"/>
      <c r="S8" s="12"/>
      <c r="T8" s="12"/>
      <c r="U8" s="12"/>
      <c r="V8" s="12"/>
      <c r="W8" s="12"/>
    </row>
    <row r="9" spans="1:23" ht="15" customHeight="1" x14ac:dyDescent="0.2">
      <c r="O9" s="12"/>
      <c r="P9" s="12"/>
      <c r="Q9" s="12"/>
      <c r="R9" s="12"/>
      <c r="S9" s="12"/>
      <c r="T9" s="12"/>
      <c r="U9" s="12"/>
      <c r="V9" s="12"/>
      <c r="W9" s="12"/>
    </row>
    <row r="10" spans="1:23" ht="15" customHeight="1" x14ac:dyDescent="0.2"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15" customHeight="1" x14ac:dyDescent="0.2"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5" customHeight="1" x14ac:dyDescent="0.2"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5" customHeight="1" x14ac:dyDescent="0.2"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5" customHeight="1" x14ac:dyDescent="0.2"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5" customHeight="1" x14ac:dyDescent="0.2"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5" customHeight="1" x14ac:dyDescent="0.2"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5" customHeight="1" x14ac:dyDescent="0.2"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5" customHeight="1" x14ac:dyDescent="0.2"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5" customHeight="1" x14ac:dyDescent="0.2"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5" customHeight="1" x14ac:dyDescent="0.2"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5" customHeight="1" x14ac:dyDescent="0.2"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5" customHeight="1" x14ac:dyDescent="0.2"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5" customHeight="1" x14ac:dyDescent="0.2"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5" customHeight="1" x14ac:dyDescent="0.2"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5" customHeight="1" x14ac:dyDescent="0.2"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5" customHeight="1" x14ac:dyDescent="0.2">
      <c r="O26" s="12"/>
      <c r="P26" s="12"/>
      <c r="Q26" s="12"/>
      <c r="R26" s="12"/>
      <c r="S26" s="12"/>
      <c r="T26" s="12"/>
      <c r="U26" s="12"/>
      <c r="V26" s="12"/>
      <c r="W26" s="12"/>
    </row>
    <row r="28" spans="1:23" ht="17.25" customHeight="1" x14ac:dyDescent="0.25">
      <c r="A28" s="19" t="s">
        <v>46</v>
      </c>
    </row>
    <row r="30" spans="1:23" ht="15" customHeight="1" x14ac:dyDescent="0.2"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5" customHeight="1" x14ac:dyDescent="0.2"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5" customHeight="1" x14ac:dyDescent="0.2">
      <c r="O32" s="12"/>
      <c r="P32" s="12"/>
      <c r="Q32" s="12"/>
      <c r="R32" s="12"/>
      <c r="S32" s="12"/>
      <c r="T32" s="12"/>
      <c r="U32" s="12"/>
      <c r="V32" s="12"/>
      <c r="W32" s="12"/>
    </row>
    <row r="33" spans="15:23" ht="15" customHeight="1" x14ac:dyDescent="0.2">
      <c r="O33" s="12"/>
      <c r="P33" s="12"/>
      <c r="Q33" s="12"/>
      <c r="R33" s="12"/>
      <c r="S33" s="12"/>
      <c r="T33" s="12"/>
      <c r="U33" s="12"/>
      <c r="V33" s="12"/>
      <c r="W33" s="12"/>
    </row>
    <row r="34" spans="15:23" ht="15" customHeight="1" x14ac:dyDescent="0.2">
      <c r="O34" s="12"/>
      <c r="P34" s="12"/>
      <c r="Q34" s="12"/>
      <c r="R34" s="12"/>
      <c r="S34" s="12"/>
      <c r="T34" s="12"/>
      <c r="U34" s="12"/>
      <c r="V34" s="12"/>
      <c r="W34" s="12"/>
    </row>
    <row r="35" spans="15:23" ht="15" customHeight="1" x14ac:dyDescent="0.2">
      <c r="O35" s="12"/>
      <c r="P35" s="12"/>
      <c r="Q35" s="12"/>
      <c r="R35" s="12"/>
      <c r="S35" s="12"/>
      <c r="T35" s="12"/>
      <c r="U35" s="12"/>
      <c r="V35" s="12"/>
      <c r="W35" s="12"/>
    </row>
    <row r="36" spans="15:23" ht="15" customHeight="1" x14ac:dyDescent="0.2">
      <c r="O36" s="12"/>
      <c r="P36" s="12"/>
      <c r="Q36" s="12"/>
      <c r="R36" s="12"/>
      <c r="S36" s="12"/>
      <c r="T36" s="12"/>
      <c r="U36" s="12"/>
      <c r="V36" s="12"/>
      <c r="W36" s="12"/>
    </row>
    <row r="37" spans="15:23" ht="15" customHeight="1" x14ac:dyDescent="0.2">
      <c r="O37" s="12"/>
      <c r="P37" s="12"/>
      <c r="Q37" s="12"/>
      <c r="R37" s="12"/>
      <c r="S37" s="12"/>
      <c r="T37" s="12"/>
      <c r="U37" s="12"/>
      <c r="V37" s="12"/>
      <c r="W37" s="12"/>
    </row>
    <row r="38" spans="15:23" ht="15" customHeight="1" x14ac:dyDescent="0.2">
      <c r="O38" s="12"/>
      <c r="P38" s="12"/>
      <c r="Q38" s="12"/>
      <c r="R38" s="12"/>
      <c r="S38" s="12"/>
      <c r="T38" s="12"/>
      <c r="U38" s="12"/>
      <c r="V38" s="12"/>
      <c r="W38" s="12"/>
    </row>
    <row r="39" spans="15:23" ht="15" customHeight="1" x14ac:dyDescent="0.2">
      <c r="O39" s="12"/>
      <c r="P39" s="12"/>
      <c r="Q39" s="12"/>
      <c r="R39" s="12"/>
      <c r="S39" s="12"/>
      <c r="T39" s="12"/>
      <c r="U39" s="12"/>
      <c r="V39" s="12"/>
      <c r="W39" s="12"/>
    </row>
    <row r="40" spans="15:23" ht="15" customHeight="1" x14ac:dyDescent="0.2">
      <c r="O40" s="12"/>
      <c r="P40" s="12"/>
      <c r="Q40" s="12"/>
      <c r="R40" s="12"/>
      <c r="S40" s="12"/>
      <c r="T40" s="12"/>
      <c r="U40" s="12"/>
      <c r="V40" s="12"/>
      <c r="W40" s="12"/>
    </row>
    <row r="41" spans="15:23" ht="15" customHeight="1" x14ac:dyDescent="0.2">
      <c r="O41" s="12"/>
      <c r="P41" s="12"/>
      <c r="Q41" s="12"/>
      <c r="R41" s="12"/>
      <c r="S41" s="12"/>
      <c r="T41" s="12"/>
      <c r="U41" s="12"/>
      <c r="V41" s="12"/>
      <c r="W41" s="12"/>
    </row>
    <row r="42" spans="15:23" ht="15" customHeight="1" x14ac:dyDescent="0.2">
      <c r="O42" s="12"/>
      <c r="P42" s="12"/>
      <c r="Q42" s="12"/>
      <c r="R42" s="12"/>
      <c r="S42" s="12"/>
      <c r="T42" s="12"/>
      <c r="U42" s="12"/>
      <c r="V42" s="12"/>
      <c r="W42" s="12"/>
    </row>
    <row r="43" spans="15:23" ht="15" customHeight="1" x14ac:dyDescent="0.2">
      <c r="O43" s="12"/>
      <c r="P43" s="12"/>
      <c r="Q43" s="12"/>
      <c r="R43" s="12"/>
      <c r="S43" s="12"/>
      <c r="T43" s="12"/>
      <c r="U43" s="12"/>
      <c r="V43" s="12"/>
      <c r="W43" s="12"/>
    </row>
    <row r="44" spans="15:23" ht="15" customHeight="1" x14ac:dyDescent="0.2">
      <c r="O44" s="12"/>
      <c r="P44" s="12"/>
      <c r="Q44" s="12"/>
      <c r="R44" s="12"/>
      <c r="S44" s="12"/>
      <c r="T44" s="12"/>
      <c r="U44" s="12"/>
      <c r="V44" s="12"/>
      <c r="W44" s="12"/>
    </row>
    <row r="45" spans="15:23" ht="15" customHeight="1" x14ac:dyDescent="0.2">
      <c r="O45" s="12"/>
      <c r="P45" s="12"/>
      <c r="Q45" s="12"/>
      <c r="R45" s="12"/>
      <c r="S45" s="12"/>
      <c r="T45" s="12"/>
      <c r="U45" s="12"/>
      <c r="V45" s="12"/>
      <c r="W45" s="12"/>
    </row>
    <row r="46" spans="15:23" ht="15" customHeight="1" x14ac:dyDescent="0.2">
      <c r="O46" s="12"/>
      <c r="P46" s="12"/>
      <c r="Q46" s="12"/>
      <c r="R46" s="12"/>
      <c r="S46" s="12"/>
      <c r="T46" s="12"/>
      <c r="U46" s="12"/>
      <c r="V46" s="12"/>
      <c r="W46" s="12"/>
    </row>
    <row r="47" spans="15:23" ht="15" customHeight="1" x14ac:dyDescent="0.2">
      <c r="O47" s="12"/>
      <c r="P47" s="12"/>
      <c r="Q47" s="12"/>
      <c r="R47" s="12"/>
      <c r="S47" s="12"/>
      <c r="T47" s="12"/>
      <c r="U47" s="12"/>
      <c r="V47" s="12"/>
      <c r="W47" s="12"/>
    </row>
    <row r="48" spans="15:23" ht="15" customHeight="1" x14ac:dyDescent="0.2"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5" customHeight="1" x14ac:dyDescent="0.2"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5" customHeight="1" x14ac:dyDescent="0.2"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5" customHeight="1" x14ac:dyDescent="0.2"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5" customHeight="1" x14ac:dyDescent="0.2">
      <c r="O52" s="12"/>
      <c r="P52" s="12"/>
      <c r="Q52" s="12"/>
      <c r="R52" s="12"/>
      <c r="S52" s="12"/>
      <c r="T52" s="12"/>
      <c r="U52" s="12"/>
      <c r="V52" s="12"/>
      <c r="W52" s="12"/>
    </row>
    <row r="54" spans="1:23" ht="17.25" customHeight="1" x14ac:dyDescent="0.25">
      <c r="A54" s="19" t="s">
        <v>47</v>
      </c>
    </row>
    <row r="56" spans="1:23" ht="15" customHeight="1" x14ac:dyDescent="0.2"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5" customHeight="1" x14ac:dyDescent="0.2"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5" customHeight="1" x14ac:dyDescent="0.2"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5" customHeight="1" x14ac:dyDescent="0.2"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5" customHeight="1" x14ac:dyDescent="0.2"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5" customHeight="1" x14ac:dyDescent="0.2"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5" customHeight="1" x14ac:dyDescent="0.2"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5" customHeight="1" x14ac:dyDescent="0.2"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5" customHeight="1" x14ac:dyDescent="0.2"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5" customHeight="1" x14ac:dyDescent="0.2"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5" customHeight="1" x14ac:dyDescent="0.2"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5" customHeight="1" x14ac:dyDescent="0.2"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5" customHeight="1" x14ac:dyDescent="0.2"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5" customHeight="1" x14ac:dyDescent="0.2"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5" customHeight="1" x14ac:dyDescent="0.2"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5" customHeight="1" x14ac:dyDescent="0.2"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5" customHeight="1" x14ac:dyDescent="0.2"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5" customHeight="1" x14ac:dyDescent="0.2"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5" customHeight="1" x14ac:dyDescent="0.2"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5" customHeight="1" x14ac:dyDescent="0.2"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5" customHeight="1" x14ac:dyDescent="0.2"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5" customHeight="1" x14ac:dyDescent="0.2"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5" customHeight="1" x14ac:dyDescent="0.2">
      <c r="O78" s="12"/>
      <c r="P78" s="12"/>
      <c r="Q78" s="12"/>
      <c r="R78" s="12"/>
      <c r="S78" s="12"/>
      <c r="T78" s="12"/>
      <c r="U78" s="12"/>
      <c r="V78" s="12"/>
      <c r="W78" s="12"/>
    </row>
    <row r="80" spans="1:23" ht="17.25" customHeight="1" x14ac:dyDescent="0.2">
      <c r="A80" s="20" t="s">
        <v>48</v>
      </c>
    </row>
    <row r="81" spans="1:23" ht="15" customHeight="1" x14ac:dyDescent="0.2">
      <c r="A81" s="21"/>
    </row>
    <row r="82" spans="1:23" ht="49.5" customHeight="1" x14ac:dyDescent="0.2">
      <c r="A82" s="2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5" customHeight="1" x14ac:dyDescent="0.2"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5" customHeight="1" x14ac:dyDescent="0.2"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5" customHeight="1" x14ac:dyDescent="0.2"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5" customHeight="1" x14ac:dyDescent="0.2"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5" customHeight="1" x14ac:dyDescent="0.2"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5" customHeight="1" x14ac:dyDescent="0.2"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5" customHeight="1" x14ac:dyDescent="0.2"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5" customHeight="1" x14ac:dyDescent="0.2"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5" customHeight="1" x14ac:dyDescent="0.2"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5" customHeight="1" x14ac:dyDescent="0.2"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5" customHeight="1" x14ac:dyDescent="0.2"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5" customHeight="1" x14ac:dyDescent="0.2"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5" customHeight="1" x14ac:dyDescent="0.2"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5" customHeight="1" x14ac:dyDescent="0.2"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5" customHeight="1" x14ac:dyDescent="0.2"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5" customHeight="1" x14ac:dyDescent="0.2"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5" customHeight="1" x14ac:dyDescent="0.2"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5" customHeight="1" x14ac:dyDescent="0.2"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5" customHeight="1" x14ac:dyDescent="0.2"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5" customHeight="1" x14ac:dyDescent="0.2"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5" customHeight="1" x14ac:dyDescent="0.2"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5" customHeight="1" x14ac:dyDescent="0.2">
      <c r="O104" s="12"/>
      <c r="P104" s="12"/>
      <c r="Q104" s="12"/>
      <c r="R104" s="12"/>
      <c r="S104" s="12"/>
      <c r="T104" s="12"/>
      <c r="U104" s="12"/>
      <c r="V104" s="12"/>
      <c r="W104" s="12"/>
    </row>
    <row r="106" spans="1:23" ht="17.25" customHeight="1" x14ac:dyDescent="0.25">
      <c r="A106" s="19" t="s">
        <v>49</v>
      </c>
    </row>
    <row r="108" spans="1:23" ht="15" customHeight="1" x14ac:dyDescent="0.2"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5" customHeight="1" x14ac:dyDescent="0.2"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5" customHeight="1" x14ac:dyDescent="0.2"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5" customHeight="1" x14ac:dyDescent="0.2"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5" customHeight="1" x14ac:dyDescent="0.2">
      <c r="A112" s="23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27.75" customHeight="1" x14ac:dyDescent="0.2">
      <c r="A113" s="10"/>
      <c r="B113" s="10"/>
      <c r="C113" s="10"/>
      <c r="D113" s="10"/>
      <c r="E113" s="10"/>
      <c r="F113" s="10"/>
      <c r="G113" s="10"/>
      <c r="H113" s="10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27.75" customHeight="1" x14ac:dyDescent="0.2">
      <c r="A114" s="10"/>
      <c r="B114" s="10"/>
      <c r="C114" s="10"/>
      <c r="D114" s="10"/>
      <c r="E114" s="10"/>
      <c r="F114" s="10"/>
      <c r="G114" s="10"/>
      <c r="H114" s="10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27.75" customHeight="1" x14ac:dyDescent="0.2">
      <c r="A115" s="10"/>
      <c r="B115" s="10"/>
      <c r="C115" s="10"/>
      <c r="D115" s="10"/>
      <c r="E115" s="10"/>
      <c r="F115" s="10"/>
      <c r="G115" s="10"/>
      <c r="H115" s="10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27.75" customHeight="1" x14ac:dyDescent="0.2">
      <c r="A116" s="10"/>
      <c r="B116" s="10"/>
      <c r="C116" s="10"/>
      <c r="D116" s="10"/>
      <c r="E116" s="10"/>
      <c r="F116" s="10"/>
      <c r="G116" s="10"/>
      <c r="H116" s="10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27.75" customHeight="1" x14ac:dyDescent="0.2">
      <c r="A117" s="10"/>
      <c r="B117" s="10"/>
      <c r="C117" s="10"/>
      <c r="D117" s="10"/>
      <c r="E117" s="10"/>
      <c r="F117" s="10"/>
      <c r="G117" s="10"/>
      <c r="H117" s="10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27.75" customHeight="1" x14ac:dyDescent="0.2">
      <c r="A118" s="10"/>
      <c r="B118" s="10"/>
      <c r="C118" s="10"/>
      <c r="D118" s="10"/>
      <c r="E118" s="10"/>
      <c r="F118" s="10"/>
      <c r="G118" s="10"/>
      <c r="H118" s="10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5" customHeight="1" x14ac:dyDescent="0.2"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5" customHeight="1" x14ac:dyDescent="0.2"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5" customHeight="1" x14ac:dyDescent="0.2"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5" customHeight="1" x14ac:dyDescent="0.2"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5" customHeight="1" x14ac:dyDescent="0.2"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5" customHeight="1" x14ac:dyDescent="0.2"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5" customHeight="1" x14ac:dyDescent="0.2"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5" customHeight="1" x14ac:dyDescent="0.2"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5" customHeight="1" x14ac:dyDescent="0.2"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5" customHeight="1" x14ac:dyDescent="0.2"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5" customHeight="1" x14ac:dyDescent="0.2"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5" customHeight="1" x14ac:dyDescent="0.2">
      <c r="O130" s="12"/>
      <c r="P130" s="12"/>
      <c r="Q130" s="12"/>
      <c r="R130" s="12"/>
      <c r="S130" s="12"/>
      <c r="T130" s="12"/>
      <c r="U130" s="12"/>
      <c r="V130" s="12"/>
      <c r="W130" s="12"/>
    </row>
    <row r="132" spans="1:23" ht="17.25" customHeight="1" x14ac:dyDescent="0.25">
      <c r="A132" s="19" t="s">
        <v>50</v>
      </c>
    </row>
    <row r="134" spans="1:23" ht="15" customHeight="1" x14ac:dyDescent="0.2"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5" customHeight="1" x14ac:dyDescent="0.2"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5" customHeight="1" x14ac:dyDescent="0.2"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5" customHeight="1" x14ac:dyDescent="0.2"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5" customHeight="1" x14ac:dyDescent="0.2"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5" customHeight="1" x14ac:dyDescent="0.2"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5" customHeight="1" x14ac:dyDescent="0.2"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5" customHeight="1" x14ac:dyDescent="0.2"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5" customHeight="1" x14ac:dyDescent="0.2"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5" customHeight="1" x14ac:dyDescent="0.2"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5" customHeight="1" x14ac:dyDescent="0.2"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5" customHeight="1" x14ac:dyDescent="0.2"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5" customHeight="1" x14ac:dyDescent="0.2"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5" customHeight="1" x14ac:dyDescent="0.2"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5" customHeight="1" x14ac:dyDescent="0.2"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5" customHeight="1" x14ac:dyDescent="0.2"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5" customHeight="1" x14ac:dyDescent="0.2"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5" customHeight="1" x14ac:dyDescent="0.2"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5" customHeight="1" x14ac:dyDescent="0.2"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5" customHeight="1" x14ac:dyDescent="0.2"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5" customHeight="1" x14ac:dyDescent="0.2"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5" customHeight="1" x14ac:dyDescent="0.2"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5" customHeight="1" x14ac:dyDescent="0.2">
      <c r="O156" s="12"/>
      <c r="P156" s="12"/>
      <c r="Q156" s="12"/>
      <c r="R156" s="12"/>
      <c r="S156" s="12"/>
      <c r="T156" s="12"/>
      <c r="U156" s="12"/>
      <c r="V156" s="12"/>
      <c r="W156" s="12"/>
    </row>
    <row r="158" spans="1:23" ht="17.25" customHeight="1" x14ac:dyDescent="0.25">
      <c r="A158" s="19" t="s">
        <v>51</v>
      </c>
    </row>
    <row r="160" spans="1:23" ht="15" customHeight="1" x14ac:dyDescent="0.2"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5:23" ht="15" customHeight="1" x14ac:dyDescent="0.2"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5:23" ht="15" customHeight="1" x14ac:dyDescent="0.2"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5:23" ht="15" customHeight="1" x14ac:dyDescent="0.2"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5:23" ht="15" customHeight="1" x14ac:dyDescent="0.2"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5:23" ht="15" customHeight="1" x14ac:dyDescent="0.2"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5:23" ht="15" customHeight="1" x14ac:dyDescent="0.2"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5:23" ht="15" customHeight="1" x14ac:dyDescent="0.2"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5:23" ht="15" customHeight="1" x14ac:dyDescent="0.2"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5:23" ht="15" customHeight="1" x14ac:dyDescent="0.2"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5:23" ht="15" customHeight="1" x14ac:dyDescent="0.2"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5:23" ht="15" customHeight="1" x14ac:dyDescent="0.2"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5:23" ht="15" customHeight="1" x14ac:dyDescent="0.2"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5:23" ht="15" customHeight="1" x14ac:dyDescent="0.2"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5:23" ht="15" customHeight="1" x14ac:dyDescent="0.2"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5:23" ht="15" customHeight="1" x14ac:dyDescent="0.2"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5:23" ht="15" customHeight="1" x14ac:dyDescent="0.2"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5" customHeight="1" x14ac:dyDescent="0.2"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5" customHeight="1" x14ac:dyDescent="0.2"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5" customHeight="1" x14ac:dyDescent="0.2"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5" customHeight="1" x14ac:dyDescent="0.2"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5" customHeight="1" x14ac:dyDescent="0.2"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5" customHeight="1" x14ac:dyDescent="0.2">
      <c r="O182" s="12"/>
      <c r="P182" s="12"/>
      <c r="Q182" s="12"/>
      <c r="R182" s="12"/>
      <c r="S182" s="12"/>
      <c r="T182" s="12"/>
      <c r="U182" s="12"/>
      <c r="V182" s="12"/>
      <c r="W182" s="12"/>
    </row>
    <row r="184" spans="1:23" ht="17.25" customHeight="1" x14ac:dyDescent="0.25">
      <c r="A184" s="19" t="s">
        <v>52</v>
      </c>
    </row>
    <row r="186" spans="1:23" ht="15" customHeight="1" x14ac:dyDescent="0.2"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5" customHeight="1" x14ac:dyDescent="0.2"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5" customHeight="1" x14ac:dyDescent="0.2"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5" customHeight="1" x14ac:dyDescent="0.2"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5" customHeight="1" x14ac:dyDescent="0.2"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5" customHeight="1" x14ac:dyDescent="0.2"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5" customHeight="1" x14ac:dyDescent="0.2"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5:23" ht="15" customHeight="1" x14ac:dyDescent="0.2"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5:23" ht="15" customHeight="1" x14ac:dyDescent="0.2"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5:23" ht="15" customHeight="1" x14ac:dyDescent="0.2"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5:23" ht="15" customHeight="1" x14ac:dyDescent="0.2"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5:23" ht="15" customHeight="1" x14ac:dyDescent="0.2"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5:23" ht="15" customHeight="1" x14ac:dyDescent="0.2"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5:23" ht="15" customHeight="1" x14ac:dyDescent="0.2"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5:23" ht="15" customHeight="1" x14ac:dyDescent="0.2"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5:23" ht="15" customHeight="1" x14ac:dyDescent="0.2"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5:23" ht="15" customHeight="1" x14ac:dyDescent="0.2"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5:23" ht="15" customHeight="1" x14ac:dyDescent="0.2"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5:23" ht="15" customHeight="1" x14ac:dyDescent="0.2"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5:23" ht="15" customHeight="1" x14ac:dyDescent="0.2"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5:23" ht="15" customHeight="1" x14ac:dyDescent="0.2"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5:23" ht="15" customHeight="1" x14ac:dyDescent="0.2"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5:23" ht="15" customHeight="1" x14ac:dyDescent="0.2">
      <c r="O208" s="12"/>
      <c r="P208" s="12"/>
      <c r="Q208" s="12"/>
      <c r="R208" s="12"/>
      <c r="S208" s="12"/>
      <c r="T208" s="12"/>
      <c r="U208" s="12"/>
      <c r="V208" s="12"/>
      <c r="W208" s="12"/>
    </row>
    <row r="210" spans="1:23" ht="17.25" customHeight="1" x14ac:dyDescent="0.25">
      <c r="A210" s="19" t="s">
        <v>53</v>
      </c>
    </row>
    <row r="212" spans="1:23" ht="15" customHeight="1" x14ac:dyDescent="0.2"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5" customHeight="1" x14ac:dyDescent="0.2"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5" customHeight="1" x14ac:dyDescent="0.2"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5" customHeight="1" x14ac:dyDescent="0.2"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5" customHeight="1" x14ac:dyDescent="0.2"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5" customHeight="1" x14ac:dyDescent="0.2"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5" customHeight="1" x14ac:dyDescent="0.2"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5" customHeight="1" x14ac:dyDescent="0.2"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5" customHeight="1" x14ac:dyDescent="0.2"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5" customHeight="1" x14ac:dyDescent="0.2"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ht="15" customHeight="1" x14ac:dyDescent="0.2"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5" customHeight="1" x14ac:dyDescent="0.2"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ht="15" customHeight="1" x14ac:dyDescent="0.2"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5" customHeight="1" x14ac:dyDescent="0.2"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ht="15" customHeight="1" x14ac:dyDescent="0.2"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5" customHeight="1" x14ac:dyDescent="0.2"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ht="15" customHeight="1" x14ac:dyDescent="0.2"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ht="15" customHeight="1" x14ac:dyDescent="0.2"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ht="15" customHeight="1" x14ac:dyDescent="0.2"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ht="15" customHeight="1" x14ac:dyDescent="0.2"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ht="15" customHeight="1" x14ac:dyDescent="0.2"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ht="15" customHeight="1" x14ac:dyDescent="0.2"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ht="15" customHeight="1" x14ac:dyDescent="0.2">
      <c r="O234" s="12"/>
      <c r="P234" s="12"/>
      <c r="Q234" s="12"/>
      <c r="R234" s="12"/>
      <c r="S234" s="12"/>
      <c r="T234" s="12"/>
      <c r="U234" s="12"/>
      <c r="V234" s="12"/>
      <c r="W234" s="12"/>
    </row>
    <row r="236" spans="1:23" ht="17.25" customHeight="1" x14ac:dyDescent="0.25">
      <c r="A236" s="19" t="s">
        <v>54</v>
      </c>
    </row>
    <row r="238" spans="1:23" ht="15" customHeight="1" x14ac:dyDescent="0.2"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3" ht="15" customHeight="1" x14ac:dyDescent="0.2"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ht="17.25" customHeight="1" x14ac:dyDescent="0.25">
      <c r="A240" s="19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3" ht="1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ht="1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3" ht="1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3" ht="1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3" ht="1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3" ht="15" customHeight="1" x14ac:dyDescent="0.2"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3" ht="15" customHeight="1" x14ac:dyDescent="0.2"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3" ht="15" customHeight="1" x14ac:dyDescent="0.2"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3" ht="15" customHeight="1" x14ac:dyDescent="0.2"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3" ht="15" customHeight="1" x14ac:dyDescent="0.2"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3" ht="15" customHeight="1" x14ac:dyDescent="0.2"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ht="15" customHeight="1" x14ac:dyDescent="0.2"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3" ht="15" customHeight="1" x14ac:dyDescent="0.2"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ht="15" customHeight="1" x14ac:dyDescent="0.2"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3" ht="15" customHeight="1" x14ac:dyDescent="0.2"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3" ht="15" customHeight="1" x14ac:dyDescent="0.2"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ht="15" customHeight="1" x14ac:dyDescent="0.2"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ht="15" customHeight="1" x14ac:dyDescent="0.2"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ht="15" customHeight="1" x14ac:dyDescent="0.2"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ht="15" customHeight="1" x14ac:dyDescent="0.2">
      <c r="O260" s="12"/>
      <c r="P260" s="12"/>
      <c r="Q260" s="12"/>
      <c r="R260" s="12"/>
      <c r="S260" s="12"/>
      <c r="T260" s="12"/>
      <c r="U260" s="12"/>
      <c r="V260" s="12"/>
      <c r="W260" s="12"/>
    </row>
    <row r="262" spans="1:23" ht="17.25" customHeight="1" x14ac:dyDescent="0.25">
      <c r="A262" s="19" t="s">
        <v>55</v>
      </c>
    </row>
    <row r="264" spans="1:23" ht="15" customHeight="1" x14ac:dyDescent="0.2"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15" customHeight="1" x14ac:dyDescent="0.2"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ht="15" customHeight="1" x14ac:dyDescent="0.2"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15" customHeight="1" x14ac:dyDescent="0.2"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ht="15" customHeight="1" x14ac:dyDescent="0.2"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ht="15" customHeight="1" x14ac:dyDescent="0.2"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ht="15" customHeight="1" x14ac:dyDescent="0.2"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ht="15" customHeight="1" x14ac:dyDescent="0.2"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ht="15" customHeight="1" x14ac:dyDescent="0.2"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5:23" ht="15" customHeight="1" x14ac:dyDescent="0.2"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5:23" ht="15" customHeight="1" x14ac:dyDescent="0.2"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5:23" ht="15" customHeight="1" x14ac:dyDescent="0.2"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5:23" ht="15" customHeight="1" x14ac:dyDescent="0.2"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5:23" ht="15" customHeight="1" x14ac:dyDescent="0.2"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5:23" ht="15" customHeight="1" x14ac:dyDescent="0.2"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5:23" ht="15" customHeight="1" x14ac:dyDescent="0.2"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5:23" ht="15" customHeight="1" x14ac:dyDescent="0.2"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5:23" ht="15" customHeight="1" x14ac:dyDescent="0.2"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5:23" ht="15" customHeight="1" x14ac:dyDescent="0.2"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5:23" ht="15" customHeight="1" x14ac:dyDescent="0.2"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5:23" ht="15" customHeight="1" x14ac:dyDescent="0.2">
      <c r="O284" s="12"/>
      <c r="P284" s="12"/>
      <c r="Q284" s="12"/>
      <c r="R284" s="12"/>
      <c r="S284" s="12"/>
      <c r="T284" s="12"/>
      <c r="U284" s="12"/>
      <c r="V284" s="12"/>
      <c r="W284" s="12"/>
    </row>
    <row r="285" spans="15:23" ht="15" customHeight="1" x14ac:dyDescent="0.2">
      <c r="O285" s="12"/>
      <c r="P285" s="12"/>
      <c r="Q285" s="12"/>
      <c r="R285" s="12"/>
      <c r="S285" s="12"/>
      <c r="T285" s="12"/>
      <c r="U285" s="12"/>
      <c r="V285" s="12"/>
      <c r="W285" s="12"/>
    </row>
    <row r="286" spans="15:23" ht="15" customHeight="1" x14ac:dyDescent="0.2">
      <c r="O286" s="12"/>
      <c r="P286" s="12"/>
      <c r="Q286" s="12"/>
      <c r="R286" s="12"/>
      <c r="S286" s="12"/>
      <c r="T286" s="12"/>
      <c r="U286" s="12"/>
      <c r="V286" s="12"/>
      <c r="W286" s="12"/>
    </row>
  </sheetData>
  <mergeCells count="24">
    <mergeCell ref="O264:W286"/>
    <mergeCell ref="A241:N241"/>
    <mergeCell ref="A242:N242"/>
    <mergeCell ref="A243:N243"/>
    <mergeCell ref="A244:N244"/>
    <mergeCell ref="A245:N245"/>
    <mergeCell ref="O134:W156"/>
    <mergeCell ref="O160:W182"/>
    <mergeCell ref="O186:W208"/>
    <mergeCell ref="O212:W234"/>
    <mergeCell ref="O238:W260"/>
    <mergeCell ref="O82:W104"/>
    <mergeCell ref="O108:W130"/>
    <mergeCell ref="A113:H113"/>
    <mergeCell ref="A114:H114"/>
    <mergeCell ref="A115:H115"/>
    <mergeCell ref="A116:H116"/>
    <mergeCell ref="A117:H117"/>
    <mergeCell ref="A118:H118"/>
    <mergeCell ref="A1:N1"/>
    <mergeCell ref="A2:N2"/>
    <mergeCell ref="O4:W26"/>
    <mergeCell ref="O30:W52"/>
    <mergeCell ref="O56:W78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showGridLines="0" tabSelected="1" topLeftCell="A52" zoomScaleNormal="100" workbookViewId="0">
      <selection sqref="A1:F1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3" width="14" customWidth="1"/>
    <col min="4" max="4" width="50" customWidth="1"/>
    <col min="5" max="5" width="40" customWidth="1"/>
    <col min="6" max="6" width="12" customWidth="1"/>
  </cols>
  <sheetData>
    <row r="1" spans="1:6" ht="21.75" customHeight="1" x14ac:dyDescent="0.3">
      <c r="A1" s="11" t="s">
        <v>56</v>
      </c>
      <c r="B1" s="11"/>
      <c r="C1" s="11"/>
      <c r="D1" s="11"/>
      <c r="E1" s="11"/>
      <c r="F1" s="11"/>
    </row>
    <row r="2" spans="1:6" ht="27.75" customHeight="1" x14ac:dyDescent="0.2">
      <c r="A2" s="12" t="s">
        <v>57</v>
      </c>
      <c r="B2" s="12"/>
      <c r="C2" s="12"/>
      <c r="D2" s="12"/>
      <c r="E2" s="12"/>
      <c r="F2" s="12"/>
    </row>
    <row r="4" spans="1:6" ht="15.75" customHeight="1" x14ac:dyDescent="0.2">
      <c r="A4" s="9" t="s">
        <v>58</v>
      </c>
      <c r="B4" s="9"/>
      <c r="C4" s="9"/>
      <c r="D4" s="9"/>
      <c r="E4" s="9"/>
      <c r="F4" s="9"/>
    </row>
    <row r="5" spans="1:6" ht="21.75" customHeight="1" x14ac:dyDescent="0.2">
      <c r="A5" s="26" t="s">
        <v>59</v>
      </c>
      <c r="B5" s="26" t="s">
        <v>60</v>
      </c>
      <c r="C5" s="26" t="s">
        <v>61</v>
      </c>
      <c r="D5" s="26" t="s">
        <v>62</v>
      </c>
      <c r="E5" s="26" t="s">
        <v>63</v>
      </c>
      <c r="F5" s="26" t="s">
        <v>64</v>
      </c>
    </row>
    <row r="6" spans="1:6" ht="48" customHeight="1" x14ac:dyDescent="0.2">
      <c r="A6" s="27" t="s">
        <v>65</v>
      </c>
      <c r="B6" s="27" t="s">
        <v>66</v>
      </c>
      <c r="C6" s="27" t="s">
        <v>67</v>
      </c>
      <c r="D6" s="27" t="s">
        <v>68</v>
      </c>
      <c r="E6" s="27" t="s">
        <v>69</v>
      </c>
      <c r="F6" s="27" t="s">
        <v>70</v>
      </c>
    </row>
    <row r="7" spans="1:6" ht="48" customHeight="1" x14ac:dyDescent="0.2">
      <c r="A7" s="27" t="s">
        <v>71</v>
      </c>
      <c r="B7" s="27" t="s">
        <v>72</v>
      </c>
      <c r="C7" s="27" t="s">
        <v>73</v>
      </c>
      <c r="D7" s="27" t="s">
        <v>74</v>
      </c>
      <c r="E7" s="27" t="s">
        <v>75</v>
      </c>
      <c r="F7" s="27" t="s">
        <v>76</v>
      </c>
    </row>
    <row r="8" spans="1:6" ht="48" customHeight="1" x14ac:dyDescent="0.2">
      <c r="A8" s="27" t="s">
        <v>77</v>
      </c>
      <c r="B8" s="27" t="s">
        <v>78</v>
      </c>
      <c r="C8" s="27" t="s">
        <v>79</v>
      </c>
      <c r="D8" s="27" t="s">
        <v>80</v>
      </c>
      <c r="E8" s="27" t="s">
        <v>81</v>
      </c>
      <c r="F8" s="27" t="s">
        <v>76</v>
      </c>
    </row>
    <row r="9" spans="1:6" ht="48" customHeight="1" x14ac:dyDescent="0.2">
      <c r="A9" s="27" t="s">
        <v>82</v>
      </c>
      <c r="B9" s="27" t="s">
        <v>83</v>
      </c>
      <c r="C9" s="27" t="s">
        <v>84</v>
      </c>
      <c r="D9" s="27" t="s">
        <v>85</v>
      </c>
      <c r="E9" s="27" t="s">
        <v>86</v>
      </c>
      <c r="F9" s="27" t="s">
        <v>87</v>
      </c>
    </row>
    <row r="10" spans="1:6" ht="48" customHeight="1" x14ac:dyDescent="0.2">
      <c r="A10" s="27" t="s">
        <v>88</v>
      </c>
      <c r="B10" s="27" t="s">
        <v>89</v>
      </c>
      <c r="C10" s="27" t="s">
        <v>90</v>
      </c>
      <c r="D10" s="27" t="s">
        <v>91</v>
      </c>
      <c r="E10" s="27" t="s">
        <v>92</v>
      </c>
      <c r="F10" s="27" t="s">
        <v>87</v>
      </c>
    </row>
    <row r="12" spans="1:6" ht="15.75" customHeight="1" x14ac:dyDescent="0.2">
      <c r="A12" s="9" t="s">
        <v>93</v>
      </c>
      <c r="B12" s="9"/>
      <c r="C12" s="9"/>
      <c r="D12" s="9"/>
      <c r="E12" s="9"/>
      <c r="F12" s="9"/>
    </row>
    <row r="13" spans="1:6" ht="21.75" customHeight="1" x14ac:dyDescent="0.2">
      <c r="A13" s="26" t="s">
        <v>59</v>
      </c>
      <c r="B13" s="26" t="s">
        <v>60</v>
      </c>
      <c r="C13" s="26" t="s">
        <v>61</v>
      </c>
      <c r="D13" s="26" t="s">
        <v>62</v>
      </c>
      <c r="E13" s="26" t="s">
        <v>63</v>
      </c>
      <c r="F13" s="26" t="s">
        <v>64</v>
      </c>
    </row>
    <row r="14" spans="1:6" ht="48" customHeight="1" x14ac:dyDescent="0.2">
      <c r="A14" s="27" t="s">
        <v>94</v>
      </c>
      <c r="B14" s="27" t="s">
        <v>95</v>
      </c>
      <c r="C14" s="27" t="s">
        <v>84</v>
      </c>
      <c r="D14" s="27" t="s">
        <v>96</v>
      </c>
      <c r="E14" s="27" t="s">
        <v>97</v>
      </c>
      <c r="F14" s="27" t="s">
        <v>98</v>
      </c>
    </row>
    <row r="15" spans="1:6" ht="48" customHeight="1" x14ac:dyDescent="0.2">
      <c r="A15" s="27" t="s">
        <v>94</v>
      </c>
      <c r="B15" s="27" t="s">
        <v>99</v>
      </c>
      <c r="C15" s="27" t="s">
        <v>100</v>
      </c>
      <c r="D15" s="27" t="s">
        <v>101</v>
      </c>
      <c r="E15" s="27" t="s">
        <v>102</v>
      </c>
      <c r="F15" s="27" t="s">
        <v>98</v>
      </c>
    </row>
    <row r="16" spans="1:6" ht="48" customHeight="1" x14ac:dyDescent="0.2">
      <c r="A16" s="27" t="s">
        <v>103</v>
      </c>
      <c r="B16" s="27" t="s">
        <v>104</v>
      </c>
      <c r="C16" s="27" t="s">
        <v>105</v>
      </c>
      <c r="D16" s="27" t="s">
        <v>106</v>
      </c>
      <c r="E16" s="27" t="s">
        <v>107</v>
      </c>
      <c r="F16" s="27" t="s">
        <v>108</v>
      </c>
    </row>
    <row r="17" spans="1:6" ht="48" customHeight="1" x14ac:dyDescent="0.2">
      <c r="A17" s="27" t="s">
        <v>103</v>
      </c>
      <c r="B17" s="27" t="s">
        <v>109</v>
      </c>
      <c r="C17" s="27" t="s">
        <v>110</v>
      </c>
      <c r="D17" s="27" t="s">
        <v>111</v>
      </c>
      <c r="E17" s="27" t="s">
        <v>112</v>
      </c>
      <c r="F17" s="27" t="s">
        <v>113</v>
      </c>
    </row>
    <row r="19" spans="1:6" ht="15.75" customHeight="1" x14ac:dyDescent="0.2">
      <c r="A19" s="9" t="s">
        <v>114</v>
      </c>
      <c r="B19" s="9"/>
      <c r="C19" s="9"/>
      <c r="D19" s="9"/>
      <c r="E19" s="9"/>
      <c r="F19" s="9"/>
    </row>
    <row r="20" spans="1:6" ht="21.75" customHeight="1" x14ac:dyDescent="0.2">
      <c r="A20" s="26" t="s">
        <v>59</v>
      </c>
      <c r="B20" s="26" t="s">
        <v>60</v>
      </c>
      <c r="C20" s="26" t="s">
        <v>61</v>
      </c>
      <c r="D20" s="26" t="s">
        <v>62</v>
      </c>
      <c r="E20" s="26" t="s">
        <v>63</v>
      </c>
      <c r="F20" s="26" t="s">
        <v>64</v>
      </c>
    </row>
    <row r="21" spans="1:6" ht="48" customHeight="1" x14ac:dyDescent="0.2">
      <c r="A21" s="27" t="s">
        <v>115</v>
      </c>
      <c r="B21" s="27" t="s">
        <v>116</v>
      </c>
      <c r="C21" s="27" t="s">
        <v>117</v>
      </c>
      <c r="D21" s="27" t="s">
        <v>118</v>
      </c>
      <c r="E21" s="27" t="s">
        <v>119</v>
      </c>
      <c r="F21" s="27" t="s">
        <v>120</v>
      </c>
    </row>
    <row r="22" spans="1:6" ht="48" customHeight="1" x14ac:dyDescent="0.2">
      <c r="A22" s="27" t="s">
        <v>121</v>
      </c>
      <c r="B22" s="27" t="s">
        <v>122</v>
      </c>
      <c r="C22" s="27" t="s">
        <v>123</v>
      </c>
      <c r="D22" s="27" t="s">
        <v>124</v>
      </c>
      <c r="E22" s="27" t="s">
        <v>125</v>
      </c>
      <c r="F22" s="27" t="s">
        <v>126</v>
      </c>
    </row>
    <row r="24" spans="1:6" ht="15.75" customHeight="1" x14ac:dyDescent="0.2">
      <c r="A24" s="9" t="s">
        <v>127</v>
      </c>
      <c r="B24" s="9"/>
      <c r="C24" s="9"/>
      <c r="D24" s="9"/>
      <c r="E24" s="9"/>
      <c r="F24" s="9"/>
    </row>
    <row r="25" spans="1:6" ht="21.75" customHeight="1" x14ac:dyDescent="0.2">
      <c r="A25" s="26" t="s">
        <v>59</v>
      </c>
      <c r="B25" s="26" t="s">
        <v>60</v>
      </c>
      <c r="C25" s="26" t="s">
        <v>61</v>
      </c>
      <c r="D25" s="26" t="s">
        <v>62</v>
      </c>
      <c r="E25" s="26" t="s">
        <v>63</v>
      </c>
      <c r="F25" s="26" t="s">
        <v>64</v>
      </c>
    </row>
    <row r="26" spans="1:6" ht="48" customHeight="1" x14ac:dyDescent="0.2">
      <c r="A26" s="27" t="s">
        <v>128</v>
      </c>
      <c r="B26" s="27" t="s">
        <v>129</v>
      </c>
      <c r="C26" s="27" t="s">
        <v>130</v>
      </c>
      <c r="D26" s="27" t="s">
        <v>131</v>
      </c>
      <c r="E26" s="27" t="s">
        <v>132</v>
      </c>
      <c r="F26" s="27" t="s">
        <v>133</v>
      </c>
    </row>
    <row r="27" spans="1:6" ht="48" customHeight="1" x14ac:dyDescent="0.2">
      <c r="A27" s="27" t="s">
        <v>134</v>
      </c>
      <c r="B27" s="27" t="s">
        <v>135</v>
      </c>
      <c r="C27" s="27" t="s">
        <v>136</v>
      </c>
      <c r="D27" s="27" t="s">
        <v>137</v>
      </c>
      <c r="E27" s="27" t="s">
        <v>138</v>
      </c>
      <c r="F27" s="27" t="s">
        <v>133</v>
      </c>
    </row>
    <row r="28" spans="1:6" ht="48" customHeight="1" x14ac:dyDescent="0.2">
      <c r="A28" s="27" t="s">
        <v>139</v>
      </c>
      <c r="B28" s="27" t="s">
        <v>140</v>
      </c>
      <c r="C28" s="27" t="s">
        <v>141</v>
      </c>
      <c r="D28" s="27" t="s">
        <v>142</v>
      </c>
      <c r="E28" s="27" t="s">
        <v>143</v>
      </c>
      <c r="F28" s="27" t="s">
        <v>133</v>
      </c>
    </row>
    <row r="30" spans="1:6" ht="15.75" customHeight="1" x14ac:dyDescent="0.2">
      <c r="A30" s="9" t="s">
        <v>144</v>
      </c>
      <c r="B30" s="9"/>
      <c r="C30" s="9"/>
      <c r="D30" s="9"/>
      <c r="E30" s="9"/>
      <c r="F30" s="9"/>
    </row>
    <row r="31" spans="1:6" ht="21.75" customHeight="1" x14ac:dyDescent="0.2">
      <c r="A31" s="26" t="s">
        <v>59</v>
      </c>
      <c r="B31" s="26" t="s">
        <v>60</v>
      </c>
      <c r="C31" s="26" t="s">
        <v>61</v>
      </c>
      <c r="D31" s="26" t="s">
        <v>62</v>
      </c>
      <c r="E31" s="26" t="s">
        <v>63</v>
      </c>
      <c r="F31" s="26" t="s">
        <v>64</v>
      </c>
    </row>
    <row r="32" spans="1:6" ht="48" customHeight="1" x14ac:dyDescent="0.2">
      <c r="A32" s="27" t="s">
        <v>145</v>
      </c>
      <c r="B32" s="27" t="s">
        <v>146</v>
      </c>
      <c r="C32" s="27" t="s">
        <v>147</v>
      </c>
      <c r="D32" s="27" t="s">
        <v>148</v>
      </c>
      <c r="E32" s="27" t="s">
        <v>149</v>
      </c>
      <c r="F32" s="27" t="s">
        <v>98</v>
      </c>
    </row>
    <row r="33" spans="1:6" ht="48" customHeight="1" x14ac:dyDescent="0.2">
      <c r="A33" s="27" t="s">
        <v>150</v>
      </c>
      <c r="B33" s="27" t="s">
        <v>151</v>
      </c>
      <c r="C33" s="27" t="s">
        <v>152</v>
      </c>
      <c r="D33" s="27" t="s">
        <v>153</v>
      </c>
      <c r="E33" s="27" t="s">
        <v>154</v>
      </c>
      <c r="F33" s="27" t="s">
        <v>98</v>
      </c>
    </row>
    <row r="34" spans="1:6" ht="48" customHeight="1" x14ac:dyDescent="0.2">
      <c r="A34" s="27" t="s">
        <v>94</v>
      </c>
      <c r="B34" s="27" t="s">
        <v>155</v>
      </c>
      <c r="C34" s="27" t="s">
        <v>156</v>
      </c>
      <c r="D34" s="27" t="s">
        <v>157</v>
      </c>
      <c r="E34" s="27" t="s">
        <v>158</v>
      </c>
      <c r="F34" s="27" t="s">
        <v>98</v>
      </c>
    </row>
    <row r="36" spans="1:6" ht="15.75" customHeight="1" x14ac:dyDescent="0.2">
      <c r="A36" s="9" t="s">
        <v>159</v>
      </c>
      <c r="B36" s="9"/>
      <c r="C36" s="9"/>
      <c r="D36" s="9"/>
      <c r="E36" s="9"/>
      <c r="F36" s="9"/>
    </row>
    <row r="37" spans="1:6" ht="21.75" customHeight="1" x14ac:dyDescent="0.2">
      <c r="A37" s="26" t="s">
        <v>59</v>
      </c>
      <c r="B37" s="26" t="s">
        <v>60</v>
      </c>
      <c r="C37" s="26" t="s">
        <v>61</v>
      </c>
      <c r="D37" s="26" t="s">
        <v>62</v>
      </c>
      <c r="E37" s="26" t="s">
        <v>63</v>
      </c>
      <c r="F37" s="26" t="s">
        <v>64</v>
      </c>
    </row>
    <row r="38" spans="1:6" ht="48" customHeight="1" x14ac:dyDescent="0.2">
      <c r="A38" s="27" t="s">
        <v>160</v>
      </c>
      <c r="B38" s="27" t="s">
        <v>161</v>
      </c>
      <c r="C38" s="27" t="s">
        <v>162</v>
      </c>
      <c r="D38" s="27" t="s">
        <v>163</v>
      </c>
      <c r="E38" s="27" t="s">
        <v>164</v>
      </c>
      <c r="F38" s="27" t="s">
        <v>165</v>
      </c>
    </row>
    <row r="39" spans="1:6" ht="48" customHeight="1" x14ac:dyDescent="0.2">
      <c r="A39" s="27" t="s">
        <v>166</v>
      </c>
      <c r="B39" s="27" t="s">
        <v>167</v>
      </c>
      <c r="C39" s="27" t="s">
        <v>168</v>
      </c>
      <c r="D39" s="27" t="s">
        <v>169</v>
      </c>
      <c r="E39" s="27" t="s">
        <v>170</v>
      </c>
      <c r="F39" s="27" t="s">
        <v>98</v>
      </c>
    </row>
    <row r="41" spans="1:6" ht="15.75" customHeight="1" x14ac:dyDescent="0.2">
      <c r="A41" s="9" t="s">
        <v>171</v>
      </c>
      <c r="B41" s="9"/>
      <c r="C41" s="9"/>
      <c r="D41" s="9"/>
      <c r="E41" s="9"/>
      <c r="F41" s="9"/>
    </row>
    <row r="42" spans="1:6" ht="21.75" customHeight="1" x14ac:dyDescent="0.2">
      <c r="A42" s="26" t="s">
        <v>59</v>
      </c>
      <c r="B42" s="26" t="s">
        <v>60</v>
      </c>
      <c r="C42" s="26" t="s">
        <v>61</v>
      </c>
      <c r="D42" s="26" t="s">
        <v>62</v>
      </c>
      <c r="E42" s="26" t="s">
        <v>63</v>
      </c>
      <c r="F42" s="26" t="s">
        <v>64</v>
      </c>
    </row>
    <row r="43" spans="1:6" ht="48" customHeight="1" x14ac:dyDescent="0.2">
      <c r="A43" s="27" t="s">
        <v>95</v>
      </c>
      <c r="B43" s="27" t="s">
        <v>172</v>
      </c>
      <c r="C43" s="27" t="s">
        <v>84</v>
      </c>
      <c r="D43" s="27" t="s">
        <v>173</v>
      </c>
      <c r="E43" s="27" t="s">
        <v>174</v>
      </c>
      <c r="F43" s="27" t="s">
        <v>175</v>
      </c>
    </row>
    <row r="44" spans="1:6" ht="48" customHeight="1" x14ac:dyDescent="0.2">
      <c r="A44" s="27" t="s">
        <v>95</v>
      </c>
      <c r="B44" s="27" t="s">
        <v>176</v>
      </c>
      <c r="C44" s="27" t="s">
        <v>84</v>
      </c>
      <c r="D44" s="27" t="s">
        <v>177</v>
      </c>
      <c r="E44" s="27" t="s">
        <v>178</v>
      </c>
      <c r="F44" s="27" t="s">
        <v>175</v>
      </c>
    </row>
    <row r="45" spans="1:6" ht="48" customHeight="1" x14ac:dyDescent="0.2">
      <c r="A45" s="27" t="s">
        <v>179</v>
      </c>
      <c r="B45" s="27" t="s">
        <v>180</v>
      </c>
      <c r="C45" s="27" t="s">
        <v>181</v>
      </c>
      <c r="D45" s="27" t="s">
        <v>182</v>
      </c>
      <c r="E45" s="27" t="s">
        <v>183</v>
      </c>
      <c r="F45" s="27" t="s">
        <v>175</v>
      </c>
    </row>
    <row r="47" spans="1:6" ht="15.75" customHeight="1" x14ac:dyDescent="0.2">
      <c r="A47" s="9" t="s">
        <v>184</v>
      </c>
      <c r="B47" s="9"/>
      <c r="C47" s="9"/>
      <c r="D47" s="9"/>
      <c r="E47" s="9"/>
      <c r="F47" s="9"/>
    </row>
    <row r="48" spans="1:6" ht="21.75" customHeight="1" x14ac:dyDescent="0.2">
      <c r="A48" s="26" t="s">
        <v>59</v>
      </c>
      <c r="B48" s="26" t="s">
        <v>60</v>
      </c>
      <c r="C48" s="26" t="s">
        <v>61</v>
      </c>
      <c r="D48" s="26" t="s">
        <v>62</v>
      </c>
      <c r="E48" s="26" t="s">
        <v>63</v>
      </c>
      <c r="F48" s="26" t="s">
        <v>64</v>
      </c>
    </row>
    <row r="49" spans="1:6" ht="48" customHeight="1" x14ac:dyDescent="0.2">
      <c r="A49" s="27" t="s">
        <v>185</v>
      </c>
      <c r="B49" s="27" t="s">
        <v>186</v>
      </c>
      <c r="C49" s="27" t="s">
        <v>187</v>
      </c>
      <c r="D49" s="27" t="s">
        <v>188</v>
      </c>
      <c r="E49" s="27" t="s">
        <v>189</v>
      </c>
      <c r="F49" s="27" t="s">
        <v>98</v>
      </c>
    </row>
    <row r="50" spans="1:6" ht="48" customHeight="1" x14ac:dyDescent="0.2">
      <c r="A50" s="27" t="s">
        <v>185</v>
      </c>
      <c r="B50" s="27" t="s">
        <v>190</v>
      </c>
      <c r="C50" s="27" t="s">
        <v>191</v>
      </c>
      <c r="D50" s="27" t="s">
        <v>192</v>
      </c>
      <c r="E50" s="27" t="s">
        <v>193</v>
      </c>
      <c r="F50" s="27" t="s">
        <v>98</v>
      </c>
    </row>
    <row r="51" spans="1:6" ht="48" customHeight="1" x14ac:dyDescent="0.2">
      <c r="A51" s="27" t="s">
        <v>185</v>
      </c>
      <c r="B51" s="27" t="s">
        <v>194</v>
      </c>
      <c r="C51" s="27" t="s">
        <v>195</v>
      </c>
      <c r="D51" s="27" t="s">
        <v>196</v>
      </c>
      <c r="E51" s="27" t="s">
        <v>197</v>
      </c>
      <c r="F51" s="27" t="s">
        <v>198</v>
      </c>
    </row>
    <row r="53" spans="1:6" ht="15.75" customHeight="1" x14ac:dyDescent="0.2">
      <c r="A53" s="9" t="s">
        <v>199</v>
      </c>
      <c r="B53" s="9"/>
      <c r="C53" s="9"/>
      <c r="D53" s="9"/>
      <c r="E53" s="9"/>
      <c r="F53" s="9"/>
    </row>
    <row r="54" spans="1:6" ht="21.75" customHeight="1" x14ac:dyDescent="0.2">
      <c r="A54" s="26" t="s">
        <v>59</v>
      </c>
      <c r="B54" s="26" t="s">
        <v>60</v>
      </c>
      <c r="C54" s="26" t="s">
        <v>61</v>
      </c>
      <c r="D54" s="26" t="s">
        <v>62</v>
      </c>
      <c r="E54" s="26" t="s">
        <v>63</v>
      </c>
      <c r="F54" s="26" t="s">
        <v>64</v>
      </c>
    </row>
    <row r="55" spans="1:6" ht="48" customHeight="1" x14ac:dyDescent="0.2">
      <c r="A55" s="27" t="s">
        <v>200</v>
      </c>
      <c r="B55" s="27" t="s">
        <v>201</v>
      </c>
      <c r="C55" s="27" t="s">
        <v>202</v>
      </c>
      <c r="D55" s="27" t="s">
        <v>203</v>
      </c>
      <c r="E55" s="27" t="s">
        <v>204</v>
      </c>
      <c r="F55" s="27" t="s">
        <v>205</v>
      </c>
    </row>
    <row r="56" spans="1:6" ht="48" customHeight="1" x14ac:dyDescent="0.2">
      <c r="A56" s="27" t="s">
        <v>206</v>
      </c>
      <c r="B56" s="27" t="s">
        <v>207</v>
      </c>
      <c r="C56" s="27" t="s">
        <v>208</v>
      </c>
      <c r="D56" s="27" t="s">
        <v>209</v>
      </c>
      <c r="E56" s="27" t="s">
        <v>210</v>
      </c>
      <c r="F56" s="27" t="s">
        <v>205</v>
      </c>
    </row>
    <row r="57" spans="1:6" ht="48" customHeight="1" x14ac:dyDescent="0.2">
      <c r="A57" s="27" t="s">
        <v>206</v>
      </c>
      <c r="B57" s="27" t="s">
        <v>211</v>
      </c>
      <c r="C57" s="27" t="s">
        <v>212</v>
      </c>
      <c r="D57" s="27" t="s">
        <v>213</v>
      </c>
      <c r="E57" s="27" t="s">
        <v>214</v>
      </c>
      <c r="F57" s="27" t="s">
        <v>205</v>
      </c>
    </row>
    <row r="58" spans="1:6" ht="48" customHeight="1" x14ac:dyDescent="0.2">
      <c r="A58" s="27" t="s">
        <v>215</v>
      </c>
      <c r="B58" s="27" t="s">
        <v>216</v>
      </c>
      <c r="C58" s="27" t="s">
        <v>217</v>
      </c>
      <c r="D58" s="27" t="s">
        <v>218</v>
      </c>
      <c r="E58" s="27" t="s">
        <v>219</v>
      </c>
      <c r="F58" s="27" t="s">
        <v>205</v>
      </c>
    </row>
    <row r="59" spans="1:6" ht="48" customHeight="1" x14ac:dyDescent="0.2">
      <c r="A59" s="27" t="s">
        <v>220</v>
      </c>
      <c r="B59" s="27" t="s">
        <v>221</v>
      </c>
      <c r="C59" s="27" t="s">
        <v>222</v>
      </c>
      <c r="D59" s="27" t="s">
        <v>223</v>
      </c>
      <c r="E59" s="27" t="s">
        <v>224</v>
      </c>
      <c r="F59" s="27" t="s">
        <v>205</v>
      </c>
    </row>
    <row r="60" spans="1:6" ht="48" customHeight="1" x14ac:dyDescent="0.2">
      <c r="A60" s="27" t="s">
        <v>225</v>
      </c>
      <c r="B60" s="27" t="s">
        <v>226</v>
      </c>
      <c r="C60" s="27" t="s">
        <v>227</v>
      </c>
      <c r="D60" s="27" t="s">
        <v>228</v>
      </c>
      <c r="E60" s="27" t="s">
        <v>229</v>
      </c>
      <c r="F60" s="27" t="s">
        <v>205</v>
      </c>
    </row>
    <row r="61" spans="1:6" ht="48" customHeight="1" x14ac:dyDescent="0.2">
      <c r="A61" s="27" t="s">
        <v>230</v>
      </c>
      <c r="B61" s="27" t="s">
        <v>231</v>
      </c>
      <c r="C61" s="27" t="s">
        <v>232</v>
      </c>
      <c r="D61" s="27" t="s">
        <v>233</v>
      </c>
      <c r="E61" s="27" t="s">
        <v>234</v>
      </c>
      <c r="F61" s="27" t="s">
        <v>205</v>
      </c>
    </row>
    <row r="62" spans="1:6" ht="48" customHeight="1" x14ac:dyDescent="0.2">
      <c r="A62" s="27" t="s">
        <v>99</v>
      </c>
      <c r="B62" s="27" t="s">
        <v>235</v>
      </c>
      <c r="C62" s="27" t="s">
        <v>236</v>
      </c>
      <c r="D62" s="27" t="s">
        <v>237</v>
      </c>
      <c r="E62" s="27" t="s">
        <v>238</v>
      </c>
      <c r="F62" s="27" t="s">
        <v>205</v>
      </c>
    </row>
    <row r="63" spans="1:6" ht="48" customHeight="1" x14ac:dyDescent="0.2">
      <c r="A63" s="27" t="s">
        <v>99</v>
      </c>
      <c r="B63" s="27" t="s">
        <v>239</v>
      </c>
      <c r="C63" s="27" t="s">
        <v>240</v>
      </c>
      <c r="D63" s="27" t="s">
        <v>241</v>
      </c>
      <c r="E63" s="27" t="s">
        <v>242</v>
      </c>
      <c r="F63" s="27" t="s">
        <v>205</v>
      </c>
    </row>
    <row r="64" spans="1:6" ht="48" customHeight="1" x14ac:dyDescent="0.2">
      <c r="A64" s="27" t="s">
        <v>243</v>
      </c>
      <c r="B64" s="27" t="s">
        <v>244</v>
      </c>
      <c r="C64" s="27" t="s">
        <v>245</v>
      </c>
      <c r="D64" s="27" t="s">
        <v>246</v>
      </c>
      <c r="E64" s="27" t="s">
        <v>247</v>
      </c>
      <c r="F64" s="27" t="s">
        <v>205</v>
      </c>
    </row>
    <row r="65" spans="1:6" ht="48" customHeight="1" x14ac:dyDescent="0.2">
      <c r="A65" s="27" t="s">
        <v>243</v>
      </c>
      <c r="B65" s="27" t="s">
        <v>248</v>
      </c>
      <c r="C65" s="27" t="s">
        <v>249</v>
      </c>
      <c r="D65" s="27" t="s">
        <v>250</v>
      </c>
      <c r="E65" s="27" t="s">
        <v>251</v>
      </c>
      <c r="F65" s="27" t="s">
        <v>205</v>
      </c>
    </row>
    <row r="66" spans="1:6" ht="48" customHeight="1" x14ac:dyDescent="0.2">
      <c r="A66" s="27" t="s">
        <v>252</v>
      </c>
      <c r="B66" s="27" t="s">
        <v>253</v>
      </c>
      <c r="C66" s="27" t="s">
        <v>254</v>
      </c>
      <c r="D66" s="27" t="s">
        <v>255</v>
      </c>
      <c r="E66" s="27" t="s">
        <v>256</v>
      </c>
      <c r="F66" s="27" t="s">
        <v>257</v>
      </c>
    </row>
  </sheetData>
  <mergeCells count="11">
    <mergeCell ref="A53:F53"/>
    <mergeCell ref="A24:F24"/>
    <mergeCell ref="A30:F30"/>
    <mergeCell ref="A36:F36"/>
    <mergeCell ref="A41:F41"/>
    <mergeCell ref="A47:F47"/>
    <mergeCell ref="A1:F1"/>
    <mergeCell ref="A2:F2"/>
    <mergeCell ref="A4:F4"/>
    <mergeCell ref="A12:F12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4"/>
  <sheetViews>
    <sheetView showGridLines="0" topLeftCell="A44" zoomScale="88" zoomScaleNormal="150" workbookViewId="0">
      <selection activeCell="E69" sqref="E69"/>
    </sheetView>
  </sheetViews>
  <sheetFormatPr baseColWidth="10" defaultColWidth="8.6640625" defaultRowHeight="15" x14ac:dyDescent="0.2"/>
  <cols>
    <col min="1" max="1" width="22" customWidth="1"/>
    <col min="2" max="12" width="12" customWidth="1"/>
    <col min="13" max="13" width="30" customWidth="1"/>
  </cols>
  <sheetData>
    <row r="1" spans="1:13" ht="21.75" customHeight="1" x14ac:dyDescent="0.3">
      <c r="A1" s="11" t="s">
        <v>258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1.5" customHeight="1" x14ac:dyDescent="0.2">
      <c r="A2" s="8" t="s">
        <v>259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15.75" customHeight="1" x14ac:dyDescent="0.2">
      <c r="A4" s="25" t="s">
        <v>260</v>
      </c>
    </row>
    <row r="5" spans="1:13" ht="15" customHeight="1" x14ac:dyDescent="0.2">
      <c r="A5" s="28" t="s">
        <v>261</v>
      </c>
      <c r="M5" s="29" t="s">
        <v>262</v>
      </c>
    </row>
    <row r="6" spans="1:13" ht="15" customHeight="1" x14ac:dyDescent="0.2">
      <c r="A6" t="s">
        <v>263</v>
      </c>
      <c r="B6" s="30">
        <v>45</v>
      </c>
      <c r="M6" s="31" t="s">
        <v>264</v>
      </c>
    </row>
    <row r="7" spans="1:13" ht="15" customHeight="1" x14ac:dyDescent="0.2">
      <c r="A7" t="s">
        <v>265</v>
      </c>
      <c r="B7" s="30">
        <v>55</v>
      </c>
      <c r="M7" s="31" t="s">
        <v>266</v>
      </c>
    </row>
    <row r="8" spans="1:13" ht="15" customHeight="1" x14ac:dyDescent="0.2">
      <c r="A8" t="s">
        <v>267</v>
      </c>
      <c r="B8" s="30">
        <v>65</v>
      </c>
      <c r="M8" s="31" t="s">
        <v>268</v>
      </c>
    </row>
    <row r="9" spans="1:13" ht="15" customHeight="1" x14ac:dyDescent="0.2">
      <c r="A9" t="s">
        <v>269</v>
      </c>
      <c r="B9" s="32">
        <v>0.05</v>
      </c>
      <c r="M9" s="31" t="s">
        <v>270</v>
      </c>
    </row>
    <row r="10" spans="1:13" ht="15" customHeight="1" x14ac:dyDescent="0.2">
      <c r="A10" t="s">
        <v>271</v>
      </c>
      <c r="B10" s="33">
        <v>25</v>
      </c>
      <c r="M10" s="31" t="s">
        <v>272</v>
      </c>
    </row>
    <row r="12" spans="1:13" ht="15" customHeight="1" x14ac:dyDescent="0.2">
      <c r="A12" s="28" t="s">
        <v>215</v>
      </c>
      <c r="M12" s="29" t="s">
        <v>262</v>
      </c>
    </row>
    <row r="13" spans="1:13" ht="15" customHeight="1" x14ac:dyDescent="0.2">
      <c r="A13" t="s">
        <v>273</v>
      </c>
      <c r="B13" s="32">
        <v>0.06</v>
      </c>
      <c r="M13" s="31" t="s">
        <v>274</v>
      </c>
    </row>
    <row r="14" spans="1:13" ht="15" customHeight="1" x14ac:dyDescent="0.2">
      <c r="A14" t="s">
        <v>275</v>
      </c>
      <c r="B14" s="32">
        <v>0.08</v>
      </c>
      <c r="M14" s="31" t="s">
        <v>276</v>
      </c>
    </row>
    <row r="15" spans="1:13" ht="15" customHeight="1" x14ac:dyDescent="0.2">
      <c r="A15" t="s">
        <v>277</v>
      </c>
      <c r="B15" s="32">
        <v>0.1</v>
      </c>
      <c r="M15" s="31" t="s">
        <v>278</v>
      </c>
    </row>
    <row r="16" spans="1:13" ht="15" customHeight="1" x14ac:dyDescent="0.2">
      <c r="A16" t="s">
        <v>279</v>
      </c>
      <c r="B16" s="32">
        <v>0.7</v>
      </c>
      <c r="M16" s="31" t="s">
        <v>280</v>
      </c>
    </row>
    <row r="17" spans="1:13" ht="15" customHeight="1" x14ac:dyDescent="0.2">
      <c r="A17" t="s">
        <v>281</v>
      </c>
      <c r="B17" s="32">
        <v>4.4999999999999998E-2</v>
      </c>
      <c r="M17" s="31" t="s">
        <v>282</v>
      </c>
    </row>
    <row r="18" spans="1:13" ht="15" customHeight="1" x14ac:dyDescent="0.2">
      <c r="A18" t="s">
        <v>225</v>
      </c>
      <c r="B18" s="32">
        <v>0.3</v>
      </c>
      <c r="M18" s="31" t="s">
        <v>283</v>
      </c>
    </row>
    <row r="20" spans="1:13" ht="15" customHeight="1" x14ac:dyDescent="0.2">
      <c r="A20" s="28" t="s">
        <v>284</v>
      </c>
      <c r="M20" s="29" t="s">
        <v>262</v>
      </c>
    </row>
    <row r="21" spans="1:13" ht="15" customHeight="1" x14ac:dyDescent="0.2">
      <c r="A21" t="s">
        <v>285</v>
      </c>
      <c r="B21" s="30">
        <v>1.62</v>
      </c>
      <c r="M21" s="31" t="s">
        <v>286</v>
      </c>
    </row>
    <row r="22" spans="1:13" ht="15" customHeight="1" x14ac:dyDescent="0.2">
      <c r="A22" t="s">
        <v>287</v>
      </c>
      <c r="B22" s="30">
        <v>1.9419999999999999</v>
      </c>
      <c r="M22" s="31" t="s">
        <v>286</v>
      </c>
    </row>
    <row r="24" spans="1:13" ht="15" customHeight="1" x14ac:dyDescent="0.2">
      <c r="A24" s="28" t="s">
        <v>288</v>
      </c>
      <c r="M24" s="29" t="s">
        <v>262</v>
      </c>
    </row>
    <row r="25" spans="1:13" ht="15" customHeight="1" x14ac:dyDescent="0.2">
      <c r="A25" t="s">
        <v>289</v>
      </c>
      <c r="B25" s="32">
        <v>0.65</v>
      </c>
      <c r="M25" s="31" t="s">
        <v>290</v>
      </c>
    </row>
    <row r="26" spans="1:13" ht="15" customHeight="1" x14ac:dyDescent="0.2">
      <c r="A26" t="s">
        <v>291</v>
      </c>
      <c r="B26" s="32">
        <v>0.75</v>
      </c>
      <c r="M26" s="31" t="s">
        <v>292</v>
      </c>
    </row>
    <row r="27" spans="1:13" ht="15" customHeight="1" x14ac:dyDescent="0.2">
      <c r="A27" t="s">
        <v>293</v>
      </c>
      <c r="B27" s="32">
        <v>0.85</v>
      </c>
      <c r="M27" s="31" t="s">
        <v>294</v>
      </c>
    </row>
    <row r="30" spans="1:13" ht="15.75" customHeight="1" x14ac:dyDescent="0.2">
      <c r="A30" s="25" t="s">
        <v>295</v>
      </c>
    </row>
    <row r="31" spans="1:13" ht="31.5" customHeight="1" x14ac:dyDescent="0.2">
      <c r="A31" s="8" t="s">
        <v>296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3" spans="1:13" ht="31.5" customHeight="1" x14ac:dyDescent="0.2">
      <c r="A33" s="34" t="s">
        <v>297</v>
      </c>
      <c r="B33" s="34" t="s">
        <v>206</v>
      </c>
      <c r="C33" s="34" t="s">
        <v>298</v>
      </c>
      <c r="D33" s="34" t="s">
        <v>299</v>
      </c>
      <c r="E33" s="34" t="s">
        <v>300</v>
      </c>
      <c r="F33" s="34" t="s">
        <v>301</v>
      </c>
      <c r="G33" s="34" t="s">
        <v>302</v>
      </c>
      <c r="H33" s="34" t="s">
        <v>303</v>
      </c>
      <c r="I33" s="34" t="s">
        <v>304</v>
      </c>
    </row>
    <row r="34" spans="1:13" ht="15" customHeight="1" x14ac:dyDescent="0.2">
      <c r="A34" s="35" t="s">
        <v>305</v>
      </c>
      <c r="B34" s="35" t="s">
        <v>306</v>
      </c>
      <c r="C34" s="36">
        <f>B9</f>
        <v>0.05</v>
      </c>
      <c r="D34" s="37">
        <f>B9*(1+B9)^B10/((1+B9)^B10-1)</f>
        <v>7.0952457299229624E-2</v>
      </c>
      <c r="E34" s="38">
        <v>1</v>
      </c>
      <c r="F34" s="39">
        <f>B6</f>
        <v>45</v>
      </c>
      <c r="G34" s="39">
        <f>B7</f>
        <v>55</v>
      </c>
      <c r="H34" s="39">
        <f>B8</f>
        <v>65</v>
      </c>
      <c r="I34" s="40" t="s">
        <v>307</v>
      </c>
    </row>
    <row r="35" spans="1:13" ht="15" customHeight="1" x14ac:dyDescent="0.2">
      <c r="A35" s="35" t="s">
        <v>308</v>
      </c>
      <c r="B35" s="41">
        <f>B13</f>
        <v>0.06</v>
      </c>
      <c r="C35" s="36">
        <f>(1-B16)*B13+B16*$B$17*(1-$B$18)</f>
        <v>4.0050000000000002E-2</v>
      </c>
      <c r="D35" s="42">
        <f>C35*(1+C35)^$B$10/((1+C35)^$B$10-1)</f>
        <v>6.4045796714178371E-2</v>
      </c>
      <c r="E35" s="38">
        <f>D35/$D$34</f>
        <v>0.90265790857780137</v>
      </c>
      <c r="F35" s="39">
        <f>$B$6*E35</f>
        <v>40.619605886001061</v>
      </c>
      <c r="G35" s="39">
        <f>$B$7*E35</f>
        <v>49.646184971779078</v>
      </c>
      <c r="H35" s="39">
        <f>$B$8*E35</f>
        <v>58.672764057557089</v>
      </c>
      <c r="I35" s="40" t="s">
        <v>309</v>
      </c>
    </row>
    <row r="36" spans="1:13" ht="15" customHeight="1" x14ac:dyDescent="0.2">
      <c r="A36" s="35" t="s">
        <v>310</v>
      </c>
      <c r="B36" s="41">
        <f>B14</f>
        <v>0.08</v>
      </c>
      <c r="C36" s="36">
        <f>(1-B16)*B14+B16*$B$17*(1-$B$18)</f>
        <v>4.6050000000000008E-2</v>
      </c>
      <c r="D36" s="42">
        <f>C36*(1+C36)^$B$10/((1+C36)^$B$10-1)</f>
        <v>6.8169779544886053E-2</v>
      </c>
      <c r="E36" s="38">
        <f>D36/$D$34</f>
        <v>0.9607810939851158</v>
      </c>
      <c r="F36" s="39">
        <f>$B$6*E36</f>
        <v>43.235149229330212</v>
      </c>
      <c r="G36" s="39">
        <f>$B$7*E36</f>
        <v>52.842960169181367</v>
      </c>
      <c r="H36" s="39">
        <f>$B$8*E36</f>
        <v>62.45077110903253</v>
      </c>
      <c r="I36" s="40" t="s">
        <v>311</v>
      </c>
    </row>
    <row r="37" spans="1:13" ht="15" customHeight="1" x14ac:dyDescent="0.2">
      <c r="A37" s="35" t="s">
        <v>312</v>
      </c>
      <c r="B37" s="41">
        <f>B15</f>
        <v>0.1</v>
      </c>
      <c r="C37" s="36">
        <f>(1-B16)*B15+B16*$B$17*(1-$B$18)</f>
        <v>5.2050000000000006E-2</v>
      </c>
      <c r="D37" s="42">
        <f>C37*(1+C37)^$B$10/((1+C37)^$B$10-1)</f>
        <v>7.2417257634858553E-2</v>
      </c>
      <c r="E37" s="38">
        <f>D37/$D$34</f>
        <v>1.0206448147306779</v>
      </c>
      <c r="F37" s="39">
        <f>$B$6*E37</f>
        <v>45.929016662880507</v>
      </c>
      <c r="G37" s="39">
        <f>$B$7*E37</f>
        <v>56.135464810187287</v>
      </c>
      <c r="H37" s="39">
        <f>$B$8*E37</f>
        <v>66.34191295749406</v>
      </c>
      <c r="I37" s="40" t="s">
        <v>313</v>
      </c>
    </row>
    <row r="39" spans="1:13" ht="15" customHeight="1" x14ac:dyDescent="0.2">
      <c r="A39" s="43" t="s">
        <v>314</v>
      </c>
    </row>
    <row r="40" spans="1:13" ht="15" customHeight="1" x14ac:dyDescent="0.2">
      <c r="A40" s="7" t="s">
        <v>315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7.25" customHeight="1" x14ac:dyDescent="0.25">
      <c r="A41" t="s">
        <v>316</v>
      </c>
      <c r="B41" s="44">
        <f>G36</f>
        <v>52.842960169181367</v>
      </c>
    </row>
    <row r="44" spans="1:13" ht="15.75" customHeight="1" x14ac:dyDescent="0.2">
      <c r="A44" s="25" t="s">
        <v>317</v>
      </c>
    </row>
    <row r="45" spans="1:13" ht="48" customHeight="1" x14ac:dyDescent="0.2">
      <c r="A45" s="8" t="s">
        <v>318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8" spans="1:13" ht="15" customHeight="1" x14ac:dyDescent="0.2">
      <c r="A48" s="45" t="s">
        <v>319</v>
      </c>
    </row>
    <row r="49" spans="1:8" ht="30" customHeight="1" x14ac:dyDescent="0.2">
      <c r="A49" s="6" t="s">
        <v>320</v>
      </c>
      <c r="B49" s="6"/>
      <c r="C49" s="46">
        <v>0.65</v>
      </c>
      <c r="D49" s="46">
        <v>0.7</v>
      </c>
      <c r="E49" s="46">
        <v>0.75</v>
      </c>
      <c r="F49" s="46">
        <v>0.8</v>
      </c>
      <c r="G49" s="46">
        <v>0.85</v>
      </c>
      <c r="H49" s="47" t="s">
        <v>321</v>
      </c>
    </row>
    <row r="50" spans="1:8" ht="15" customHeight="1" x14ac:dyDescent="0.2">
      <c r="A50" s="48">
        <v>10</v>
      </c>
      <c r="B50" s="35"/>
      <c r="C50" s="49">
        <f t="shared" ref="C50:C62" si="0">C$49*($B$21+$B$22*A50)</f>
        <v>13.676</v>
      </c>
      <c r="D50" s="49">
        <f t="shared" ref="D50:D62" si="1">D$49*($B$21+$B$22*A50)</f>
        <v>14.727999999999998</v>
      </c>
      <c r="E50" s="49">
        <f t="shared" ref="E50:E62" si="2">E$49*($B$21+$B$22*A50)</f>
        <v>15.78</v>
      </c>
      <c r="F50" s="49">
        <f t="shared" ref="F50:F62" si="3">F$49*($B$21+$B$22*A50)</f>
        <v>16.832000000000001</v>
      </c>
      <c r="G50" s="49">
        <f t="shared" ref="G50:G62" si="4">G$49*($B$21+$B$22*A50)</f>
        <v>17.884</v>
      </c>
      <c r="H50" s="49">
        <f t="shared" ref="H50:H62" si="5">$B$21+$B$22*A50</f>
        <v>21.04</v>
      </c>
    </row>
    <row r="51" spans="1:8" ht="15" customHeight="1" x14ac:dyDescent="0.2">
      <c r="A51" s="48">
        <v>15</v>
      </c>
      <c r="B51" s="35"/>
      <c r="C51" s="49">
        <f t="shared" si="0"/>
        <v>19.987500000000001</v>
      </c>
      <c r="D51" s="49">
        <f t="shared" si="1"/>
        <v>21.524999999999999</v>
      </c>
      <c r="E51" s="49">
        <f t="shared" si="2"/>
        <v>23.0625</v>
      </c>
      <c r="F51" s="49">
        <f t="shared" si="3"/>
        <v>24.6</v>
      </c>
      <c r="G51" s="49">
        <f t="shared" si="4"/>
        <v>26.137499999999999</v>
      </c>
      <c r="H51" s="49">
        <f t="shared" si="5"/>
        <v>30.75</v>
      </c>
    </row>
    <row r="52" spans="1:8" ht="15" customHeight="1" x14ac:dyDescent="0.2">
      <c r="A52" s="48">
        <v>20</v>
      </c>
      <c r="B52" s="35"/>
      <c r="C52" s="49">
        <f t="shared" si="0"/>
        <v>26.298999999999996</v>
      </c>
      <c r="D52" s="49">
        <f t="shared" si="1"/>
        <v>28.321999999999992</v>
      </c>
      <c r="E52" s="49">
        <f t="shared" si="2"/>
        <v>30.344999999999995</v>
      </c>
      <c r="F52" s="49">
        <f t="shared" si="3"/>
        <v>32.367999999999995</v>
      </c>
      <c r="G52" s="49">
        <f t="shared" si="4"/>
        <v>34.390999999999991</v>
      </c>
      <c r="H52" s="49">
        <f t="shared" si="5"/>
        <v>40.459999999999994</v>
      </c>
    </row>
    <row r="53" spans="1:8" ht="15" customHeight="1" x14ac:dyDescent="0.2">
      <c r="A53" s="48">
        <v>25</v>
      </c>
      <c r="B53" s="35"/>
      <c r="C53" s="49">
        <f t="shared" si="0"/>
        <v>32.610499999999995</v>
      </c>
      <c r="D53" s="49">
        <f t="shared" si="1"/>
        <v>35.118999999999993</v>
      </c>
      <c r="E53" s="49">
        <f t="shared" si="2"/>
        <v>37.627499999999998</v>
      </c>
      <c r="F53" s="49">
        <f t="shared" si="3"/>
        <v>40.135999999999996</v>
      </c>
      <c r="G53" s="49">
        <f t="shared" si="4"/>
        <v>42.644499999999994</v>
      </c>
      <c r="H53" s="49">
        <f t="shared" si="5"/>
        <v>50.169999999999995</v>
      </c>
    </row>
    <row r="54" spans="1:8" ht="15" customHeight="1" x14ac:dyDescent="0.2">
      <c r="A54" s="48">
        <v>30</v>
      </c>
      <c r="B54" s="35"/>
      <c r="C54" s="49">
        <f t="shared" si="0"/>
        <v>38.921999999999997</v>
      </c>
      <c r="D54" s="49">
        <f t="shared" si="1"/>
        <v>41.915999999999997</v>
      </c>
      <c r="E54" s="49">
        <f t="shared" si="2"/>
        <v>44.91</v>
      </c>
      <c r="F54" s="49">
        <f t="shared" si="3"/>
        <v>47.903999999999996</v>
      </c>
      <c r="G54" s="49">
        <f t="shared" si="4"/>
        <v>50.897999999999996</v>
      </c>
      <c r="H54" s="49">
        <f t="shared" si="5"/>
        <v>59.879999999999995</v>
      </c>
    </row>
    <row r="55" spans="1:8" ht="15" customHeight="1" x14ac:dyDescent="0.2">
      <c r="A55" s="48">
        <v>35</v>
      </c>
      <c r="B55" s="35"/>
      <c r="C55" s="49">
        <f t="shared" si="0"/>
        <v>45.233500000000006</v>
      </c>
      <c r="D55" s="49">
        <f t="shared" si="1"/>
        <v>48.713000000000001</v>
      </c>
      <c r="E55" s="49">
        <f t="shared" si="2"/>
        <v>52.192500000000003</v>
      </c>
      <c r="F55" s="49">
        <f t="shared" si="3"/>
        <v>55.672000000000004</v>
      </c>
      <c r="G55" s="49">
        <f t="shared" si="4"/>
        <v>59.151499999999999</v>
      </c>
      <c r="H55" s="49">
        <f t="shared" si="5"/>
        <v>69.59</v>
      </c>
    </row>
    <row r="56" spans="1:8" ht="15" customHeight="1" x14ac:dyDescent="0.2">
      <c r="A56" s="48">
        <v>40</v>
      </c>
      <c r="B56" s="35"/>
      <c r="C56" s="49">
        <f t="shared" si="0"/>
        <v>51.545000000000002</v>
      </c>
      <c r="D56" s="49">
        <f t="shared" si="1"/>
        <v>55.51</v>
      </c>
      <c r="E56" s="49">
        <f t="shared" si="2"/>
        <v>59.474999999999994</v>
      </c>
      <c r="F56" s="49">
        <f t="shared" si="3"/>
        <v>63.44</v>
      </c>
      <c r="G56" s="49">
        <f t="shared" si="4"/>
        <v>67.405000000000001</v>
      </c>
      <c r="H56" s="49">
        <f t="shared" si="5"/>
        <v>79.3</v>
      </c>
    </row>
    <row r="57" spans="1:8" ht="15" customHeight="1" x14ac:dyDescent="0.2">
      <c r="A57" s="48">
        <v>45</v>
      </c>
      <c r="B57" s="35"/>
      <c r="C57" s="49">
        <f t="shared" si="0"/>
        <v>57.856500000000004</v>
      </c>
      <c r="D57" s="49">
        <f t="shared" si="1"/>
        <v>62.307000000000002</v>
      </c>
      <c r="E57" s="49">
        <f t="shared" si="2"/>
        <v>66.757500000000007</v>
      </c>
      <c r="F57" s="49">
        <f t="shared" si="3"/>
        <v>71.208000000000013</v>
      </c>
      <c r="G57" s="49">
        <f t="shared" si="4"/>
        <v>75.658500000000004</v>
      </c>
      <c r="H57" s="49">
        <f t="shared" si="5"/>
        <v>89.01</v>
      </c>
    </row>
    <row r="58" spans="1:8" ht="15" customHeight="1" x14ac:dyDescent="0.2">
      <c r="A58" s="48">
        <v>50</v>
      </c>
      <c r="B58" s="35"/>
      <c r="C58" s="49">
        <f t="shared" si="0"/>
        <v>64.168000000000006</v>
      </c>
      <c r="D58" s="49">
        <f t="shared" si="1"/>
        <v>69.103999999999999</v>
      </c>
      <c r="E58" s="49">
        <f t="shared" si="2"/>
        <v>74.039999999999992</v>
      </c>
      <c r="F58" s="49">
        <f t="shared" si="3"/>
        <v>78.975999999999999</v>
      </c>
      <c r="G58" s="49">
        <f t="shared" si="4"/>
        <v>83.911999999999992</v>
      </c>
      <c r="H58" s="49">
        <f t="shared" si="5"/>
        <v>98.72</v>
      </c>
    </row>
    <row r="59" spans="1:8" ht="15" customHeight="1" x14ac:dyDescent="0.2">
      <c r="A59" s="48">
        <v>60</v>
      </c>
      <c r="B59" s="35"/>
      <c r="C59" s="49">
        <f t="shared" si="0"/>
        <v>76.790999999999997</v>
      </c>
      <c r="D59" s="49">
        <f t="shared" si="1"/>
        <v>82.697999999999993</v>
      </c>
      <c r="E59" s="49">
        <f t="shared" si="2"/>
        <v>88.605000000000004</v>
      </c>
      <c r="F59" s="49">
        <f t="shared" si="3"/>
        <v>94.512</v>
      </c>
      <c r="G59" s="49">
        <f t="shared" si="4"/>
        <v>100.419</v>
      </c>
      <c r="H59" s="49">
        <f t="shared" si="5"/>
        <v>118.14</v>
      </c>
    </row>
    <row r="60" spans="1:8" ht="15" customHeight="1" x14ac:dyDescent="0.2">
      <c r="A60" s="48">
        <v>75</v>
      </c>
      <c r="B60" s="35"/>
      <c r="C60" s="49">
        <f t="shared" si="0"/>
        <v>95.725500000000011</v>
      </c>
      <c r="D60" s="49">
        <f t="shared" si="1"/>
        <v>103.089</v>
      </c>
      <c r="E60" s="49">
        <f t="shared" si="2"/>
        <v>110.45250000000001</v>
      </c>
      <c r="F60" s="49">
        <f t="shared" si="3"/>
        <v>117.81600000000002</v>
      </c>
      <c r="G60" s="49">
        <f t="shared" si="4"/>
        <v>125.1795</v>
      </c>
      <c r="H60" s="49">
        <f t="shared" si="5"/>
        <v>147.27000000000001</v>
      </c>
    </row>
    <row r="61" spans="1:8" ht="15" customHeight="1" x14ac:dyDescent="0.2">
      <c r="A61" s="48">
        <v>100</v>
      </c>
      <c r="B61" s="35"/>
      <c r="C61" s="49">
        <f t="shared" si="0"/>
        <v>127.283</v>
      </c>
      <c r="D61" s="49">
        <f t="shared" si="1"/>
        <v>137.07399999999998</v>
      </c>
      <c r="E61" s="49">
        <f t="shared" si="2"/>
        <v>146.86500000000001</v>
      </c>
      <c r="F61" s="49">
        <f t="shared" si="3"/>
        <v>156.65600000000001</v>
      </c>
      <c r="G61" s="49">
        <f t="shared" si="4"/>
        <v>166.447</v>
      </c>
      <c r="H61" s="49">
        <f t="shared" si="5"/>
        <v>195.82</v>
      </c>
    </row>
    <row r="62" spans="1:8" ht="15" customHeight="1" x14ac:dyDescent="0.2">
      <c r="A62" s="48">
        <v>150</v>
      </c>
      <c r="B62" s="35"/>
      <c r="C62" s="49">
        <f t="shared" si="0"/>
        <v>190.39800000000002</v>
      </c>
      <c r="D62" s="49">
        <f t="shared" si="1"/>
        <v>205.04400000000001</v>
      </c>
      <c r="E62" s="49">
        <f t="shared" si="2"/>
        <v>219.69</v>
      </c>
      <c r="F62" s="49">
        <f t="shared" si="3"/>
        <v>234.33600000000001</v>
      </c>
      <c r="G62" s="49">
        <f t="shared" si="4"/>
        <v>248.982</v>
      </c>
      <c r="H62" s="49">
        <f t="shared" si="5"/>
        <v>292.92</v>
      </c>
    </row>
    <row r="64" spans="1:8" ht="15" customHeight="1" x14ac:dyDescent="0.2">
      <c r="A64" s="50" t="s">
        <v>322</v>
      </c>
      <c r="B64" s="5" t="s">
        <v>323</v>
      </c>
      <c r="C64" s="5"/>
      <c r="D64" s="5"/>
    </row>
    <row r="65" spans="1:12" ht="15" customHeight="1" x14ac:dyDescent="0.2">
      <c r="B65" s="4" t="s">
        <v>324</v>
      </c>
      <c r="C65" s="4"/>
      <c r="D65" s="4"/>
    </row>
    <row r="67" spans="1:12" ht="15" customHeight="1" x14ac:dyDescent="0.2">
      <c r="A67" s="3" t="s">
        <v>325</v>
      </c>
      <c r="B67" s="3"/>
      <c r="C67" s="3"/>
      <c r="D67" s="3"/>
    </row>
    <row r="68" spans="1:12" ht="27.75" customHeight="1" x14ac:dyDescent="0.2">
      <c r="A68" s="34" t="s">
        <v>99</v>
      </c>
      <c r="B68" s="34" t="s">
        <v>326</v>
      </c>
      <c r="C68" s="34" t="s">
        <v>327</v>
      </c>
      <c r="D68" s="34" t="s">
        <v>328</v>
      </c>
      <c r="E68" s="34" t="s">
        <v>329</v>
      </c>
      <c r="F68" s="34" t="s">
        <v>139</v>
      </c>
    </row>
    <row r="69" spans="1:12" ht="15" customHeight="1" x14ac:dyDescent="0.2">
      <c r="A69" s="51">
        <f>B25</f>
        <v>0.65</v>
      </c>
      <c r="B69" s="52">
        <f>(($B$6/B25)-$B$21)/$B$22</f>
        <v>34.815020201219994</v>
      </c>
      <c r="C69" s="52">
        <f>(($B$7/B25)-$B$21)/$B$22</f>
        <v>42.737067258179515</v>
      </c>
      <c r="D69" s="52">
        <f>(($B$8/B25)-$B$21)/$B$22</f>
        <v>50.659114315139028</v>
      </c>
      <c r="E69" s="52">
        <f>(($G$36/B25)-$B$21)/$B$22</f>
        <v>41.028250153831394</v>
      </c>
      <c r="F69" s="40" t="s">
        <v>330</v>
      </c>
    </row>
    <row r="70" spans="1:12" ht="15" customHeight="1" x14ac:dyDescent="0.2">
      <c r="A70" s="51">
        <f>B26</f>
        <v>0.75</v>
      </c>
      <c r="B70" s="52">
        <f>(($B$6/B26)-$B$21)/$B$22</f>
        <v>30.061791967044286</v>
      </c>
      <c r="C70" s="52">
        <f>(($B$7/B26)-$B$21)/$B$22</f>
        <v>36.92756608307586</v>
      </c>
      <c r="D70" s="52">
        <f>(($B$8/B26)-$B$21)/$B$22</f>
        <v>43.793340199107448</v>
      </c>
      <c r="E70" s="52">
        <f>(($G$36/B26)-$B$21)/$B$22</f>
        <v>35.446591259307496</v>
      </c>
      <c r="F70" s="40" t="s">
        <v>331</v>
      </c>
    </row>
    <row r="71" spans="1:12" ht="15" customHeight="1" x14ac:dyDescent="0.2">
      <c r="A71" s="51">
        <f>B27</f>
        <v>0.85</v>
      </c>
      <c r="B71" s="52">
        <f>(($B$6/B27)-$B$21)/$B$22</f>
        <v>26.426970376204039</v>
      </c>
      <c r="C71" s="52">
        <f>(($B$7/B27)-$B$21)/$B$22</f>
        <v>32.485006360937788</v>
      </c>
      <c r="D71" s="52">
        <f>(($B$8/B27)-$B$21)/$B$22</f>
        <v>38.54304234567153</v>
      </c>
      <c r="E71" s="52">
        <f>(($G$36/B27)-$B$21)/$B$22</f>
        <v>31.17826386937746</v>
      </c>
      <c r="F71" s="40" t="s">
        <v>332</v>
      </c>
    </row>
    <row r="73" spans="1:12" ht="15" customHeight="1" x14ac:dyDescent="0.2">
      <c r="A73" s="43" t="s">
        <v>314</v>
      </c>
    </row>
    <row r="74" spans="1:12" ht="60" customHeight="1" x14ac:dyDescent="0.2">
      <c r="A74" s="8" t="s">
        <v>333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</sheetData>
  <mergeCells count="10">
    <mergeCell ref="A49:B49"/>
    <mergeCell ref="B64:D64"/>
    <mergeCell ref="B65:D65"/>
    <mergeCell ref="A67:D67"/>
    <mergeCell ref="A74:L74"/>
    <mergeCell ref="A1:M1"/>
    <mergeCell ref="A2:M2"/>
    <mergeCell ref="A31:M31"/>
    <mergeCell ref="A40:M40"/>
    <mergeCell ref="A45:M45"/>
  </mergeCells>
  <conditionalFormatting sqref="C50:G62">
    <cfRule type="cellIs" dxfId="1" priority="2" operator="greaterThanOrEqual">
      <formula>$B$7</formula>
    </cfRule>
    <cfRule type="cellIs" dxfId="0" priority="3" operator="lessThan">
      <formula>$B$7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A5F"/>
  </sheetPr>
  <dimension ref="A1:AF10"/>
  <sheetViews>
    <sheetView zoomScale="59" zoomScaleNormal="59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7" customWidth="1"/>
    <col min="2" max="32" width="14" customWidth="1"/>
  </cols>
  <sheetData>
    <row r="1" spans="1:32" ht="51" customHeight="1" x14ac:dyDescent="0.2">
      <c r="A1" s="53" t="s">
        <v>334</v>
      </c>
      <c r="B1" s="53" t="s">
        <v>335</v>
      </c>
      <c r="C1" s="53" t="s">
        <v>336</v>
      </c>
      <c r="D1" s="53" t="s">
        <v>337</v>
      </c>
      <c r="E1" s="53" t="s">
        <v>338</v>
      </c>
      <c r="F1" s="53" t="s">
        <v>339</v>
      </c>
      <c r="G1" s="53" t="s">
        <v>340</v>
      </c>
      <c r="H1" s="53" t="s">
        <v>341</v>
      </c>
      <c r="I1" s="53" t="s">
        <v>342</v>
      </c>
      <c r="J1" s="53" t="s">
        <v>343</v>
      </c>
      <c r="K1" s="53" t="s">
        <v>344</v>
      </c>
      <c r="L1" s="53" t="s">
        <v>345</v>
      </c>
      <c r="M1" s="53" t="s">
        <v>346</v>
      </c>
      <c r="N1" s="53" t="s">
        <v>347</v>
      </c>
      <c r="O1" s="53" t="s">
        <v>348</v>
      </c>
      <c r="P1" s="53" t="s">
        <v>349</v>
      </c>
      <c r="Q1" s="53" t="s">
        <v>350</v>
      </c>
      <c r="R1" s="53" t="s">
        <v>351</v>
      </c>
      <c r="S1" s="54" t="s">
        <v>352</v>
      </c>
      <c r="T1" s="54" t="s">
        <v>353</v>
      </c>
      <c r="U1" s="54" t="s">
        <v>354</v>
      </c>
      <c r="V1" s="54" t="s">
        <v>355</v>
      </c>
      <c r="W1" s="54" t="s">
        <v>356</v>
      </c>
      <c r="X1" s="54" t="s">
        <v>357</v>
      </c>
      <c r="Y1" s="54" t="s">
        <v>358</v>
      </c>
      <c r="Z1" s="54" t="s">
        <v>359</v>
      </c>
      <c r="AA1" s="54" t="s">
        <v>360</v>
      </c>
      <c r="AB1" s="54" t="s">
        <v>361</v>
      </c>
      <c r="AC1" s="54" t="s">
        <v>362</v>
      </c>
      <c r="AD1" s="54" t="s">
        <v>363</v>
      </c>
      <c r="AE1" s="54" t="s">
        <v>364</v>
      </c>
      <c r="AF1" s="54" t="s">
        <v>365</v>
      </c>
    </row>
    <row r="2" spans="1:32" ht="15" customHeight="1" x14ac:dyDescent="0.2">
      <c r="A2" s="55">
        <v>2015</v>
      </c>
      <c r="B2" s="56">
        <v>8665</v>
      </c>
      <c r="C2" s="56">
        <v>110</v>
      </c>
      <c r="D2" s="56">
        <v>275841.7</v>
      </c>
      <c r="E2" s="56">
        <v>197774.549134145</v>
      </c>
      <c r="F2" s="56">
        <v>5190194.7399270898</v>
      </c>
      <c r="G2" s="56">
        <v>69018907</v>
      </c>
      <c r="H2" s="56">
        <v>274616.42082292598</v>
      </c>
      <c r="I2" s="56">
        <v>8026264.69643413</v>
      </c>
      <c r="J2" s="56">
        <v>8135978</v>
      </c>
      <c r="K2" s="56">
        <v>91316.531713430901</v>
      </c>
      <c r="L2" s="56">
        <v>2815731.8515968299</v>
      </c>
      <c r="M2" s="56">
        <v>34796825.5</v>
      </c>
      <c r="N2" s="56">
        <v>34897.764745</v>
      </c>
      <c r="O2" s="56">
        <v>1588.7</v>
      </c>
      <c r="P2" s="56">
        <v>38105.723955000001</v>
      </c>
      <c r="Q2" s="57">
        <v>19.815558904109601</v>
      </c>
      <c r="R2" s="57"/>
      <c r="S2" s="58">
        <f t="shared" ref="S2:S10" si="0">IFERROR(D2/B2,"")</f>
        <v>31.83401038661281</v>
      </c>
      <c r="T2" s="58">
        <f t="shared" ref="T2:T10" si="1">IFERROR(F2/E2,"")</f>
        <v>26.242986080108441</v>
      </c>
      <c r="U2" s="58">
        <f t="shared" ref="U2:U10" si="2">IFERROR(I2/H2,"")</f>
        <v>29.227184129711983</v>
      </c>
      <c r="V2" s="58">
        <f t="shared" ref="V2:V10" si="3">IFERROR(L2/K2,"")</f>
        <v>30.83485321620784</v>
      </c>
      <c r="W2" s="59">
        <f t="shared" ref="W2:W10" si="4">IFERROR(T2/S2,"")</f>
        <v>0.82436946402280598</v>
      </c>
      <c r="X2" s="59">
        <f t="shared" ref="X2:X10" si="5">IFERROR(U2/S2,"")</f>
        <v>0.91811191159260663</v>
      </c>
      <c r="Y2" s="59">
        <f t="shared" ref="Y2:Y10" si="6">IFERROR(V2/S2,"")</f>
        <v>0.96861353130596617</v>
      </c>
      <c r="Z2" s="60">
        <f t="shared" ref="Z2:Z10" si="7">IFERROR(E2/B2,"")</f>
        <v>22.824529617327755</v>
      </c>
      <c r="AA2" s="60">
        <f t="shared" ref="AA2:AA10" si="8">IFERROR(H2/B2,"")</f>
        <v>31.692604826650431</v>
      </c>
      <c r="AB2" s="60">
        <f t="shared" ref="AB2:AB10" si="9">IFERROR(K2/B2,"")</f>
        <v>10.538549534152441</v>
      </c>
      <c r="AC2" s="61">
        <f t="shared" ref="AC2:AC10" si="10">IFERROR(C2/B2,"")</f>
        <v>1.2694748990190421E-2</v>
      </c>
      <c r="AD2" s="62">
        <f t="shared" ref="AD2:AD10" si="11">IFERROR(G2/1000000,"")</f>
        <v>69.018906999999999</v>
      </c>
      <c r="AE2" s="62">
        <f t="shared" ref="AE2:AE10" si="12">IFERROR(J2/1000000,"")</f>
        <v>8.1359779999999997</v>
      </c>
      <c r="AF2" s="62">
        <f t="shared" ref="AF2:AF10" si="13">IFERROR(M2/1000000,"")</f>
        <v>34.796825499999997</v>
      </c>
    </row>
    <row r="3" spans="1:32" ht="15" customHeight="1" x14ac:dyDescent="0.2">
      <c r="A3" s="55">
        <v>2016</v>
      </c>
      <c r="B3" s="56">
        <v>8784</v>
      </c>
      <c r="C3" s="56">
        <v>97</v>
      </c>
      <c r="D3" s="56">
        <v>254579.35</v>
      </c>
      <c r="E3" s="56">
        <v>177870.121271057</v>
      </c>
      <c r="F3" s="56">
        <v>4352830.2272727899</v>
      </c>
      <c r="G3" s="56">
        <v>64008329.75</v>
      </c>
      <c r="H3" s="56">
        <v>319647.81709584198</v>
      </c>
      <c r="I3" s="56">
        <v>8519872.2689251807</v>
      </c>
      <c r="J3" s="56">
        <v>11731883.5</v>
      </c>
      <c r="K3" s="56">
        <v>88899.443266068702</v>
      </c>
      <c r="L3" s="56">
        <v>2377845.7467699898</v>
      </c>
      <c r="M3" s="56">
        <v>33914403.5</v>
      </c>
      <c r="N3" s="56">
        <v>34953.264745</v>
      </c>
      <c r="O3" s="56">
        <v>3273.22</v>
      </c>
      <c r="P3" s="56">
        <v>38105.723955000001</v>
      </c>
      <c r="Q3" s="57">
        <v>14.0402322404372</v>
      </c>
      <c r="R3" s="57"/>
      <c r="S3" s="58">
        <f t="shared" si="0"/>
        <v>28.982166438979963</v>
      </c>
      <c r="T3" s="58">
        <f t="shared" si="1"/>
        <v>24.471958506395204</v>
      </c>
      <c r="U3" s="58">
        <f t="shared" si="2"/>
        <v>26.653935404071959</v>
      </c>
      <c r="V3" s="58">
        <f t="shared" si="3"/>
        <v>26.747588729586234</v>
      </c>
      <c r="W3" s="59">
        <f t="shared" si="4"/>
        <v>0.84437988988570944</v>
      </c>
      <c r="X3" s="59">
        <f t="shared" si="5"/>
        <v>0.91966677025991339</v>
      </c>
      <c r="Y3" s="59">
        <f t="shared" si="6"/>
        <v>0.92289818243579258</v>
      </c>
      <c r="Z3" s="60">
        <f t="shared" si="7"/>
        <v>20.249330745794285</v>
      </c>
      <c r="AA3" s="60">
        <f t="shared" si="8"/>
        <v>36.389778813278916</v>
      </c>
      <c r="AB3" s="60">
        <f t="shared" si="9"/>
        <v>10.120610572184507</v>
      </c>
      <c r="AC3" s="61">
        <f t="shared" si="10"/>
        <v>1.104280510018215E-2</v>
      </c>
      <c r="AD3" s="62">
        <f t="shared" si="11"/>
        <v>64.008329750000001</v>
      </c>
      <c r="AE3" s="62">
        <f t="shared" si="12"/>
        <v>11.7318835</v>
      </c>
      <c r="AF3" s="62">
        <f t="shared" si="13"/>
        <v>33.914403499999999</v>
      </c>
    </row>
    <row r="4" spans="1:32" ht="15" customHeight="1" x14ac:dyDescent="0.2">
      <c r="A4" s="55">
        <v>2017</v>
      </c>
      <c r="B4" s="56">
        <v>8760</v>
      </c>
      <c r="C4" s="56">
        <v>147</v>
      </c>
      <c r="D4" s="56">
        <v>299465.27</v>
      </c>
      <c r="E4" s="56">
        <v>201848.28126606901</v>
      </c>
      <c r="F4" s="56">
        <v>5556689.0669022202</v>
      </c>
      <c r="G4" s="56">
        <v>85252789.5</v>
      </c>
      <c r="H4" s="56">
        <v>398550.88370263297</v>
      </c>
      <c r="I4" s="56">
        <v>12161728.4495265</v>
      </c>
      <c r="J4" s="56">
        <v>17418425.5</v>
      </c>
      <c r="K4" s="56">
        <v>91180.485068194495</v>
      </c>
      <c r="L4" s="56">
        <v>2883694.6177754402</v>
      </c>
      <c r="M4" s="56">
        <v>35883181</v>
      </c>
      <c r="N4" s="56">
        <v>41320.822999999997</v>
      </c>
      <c r="O4" s="56">
        <v>3886.2080000000001</v>
      </c>
      <c r="P4" s="56">
        <v>39314.343954999997</v>
      </c>
      <c r="Q4" s="57">
        <v>17.348424657534299</v>
      </c>
      <c r="R4" s="57">
        <v>6.4229341317365298</v>
      </c>
      <c r="S4" s="58">
        <f t="shared" si="0"/>
        <v>34.185533105022834</v>
      </c>
      <c r="T4" s="58">
        <f t="shared" si="1"/>
        <v>27.529038305645003</v>
      </c>
      <c r="U4" s="58">
        <f t="shared" si="2"/>
        <v>30.514870112797482</v>
      </c>
      <c r="V4" s="58">
        <f t="shared" si="3"/>
        <v>31.62622589273029</v>
      </c>
      <c r="W4" s="59">
        <f t="shared" si="4"/>
        <v>0.80528328228996371</v>
      </c>
      <c r="X4" s="59">
        <f t="shared" si="5"/>
        <v>0.89262525229755663</v>
      </c>
      <c r="Y4" s="59">
        <f t="shared" si="6"/>
        <v>0.92513478715016706</v>
      </c>
      <c r="Z4" s="60">
        <f t="shared" si="7"/>
        <v>23.042041240418836</v>
      </c>
      <c r="AA4" s="60">
        <f t="shared" si="8"/>
        <v>45.496676221761753</v>
      </c>
      <c r="AB4" s="60">
        <f t="shared" si="9"/>
        <v>10.408731172168322</v>
      </c>
      <c r="AC4" s="61">
        <f t="shared" si="10"/>
        <v>1.678082191780822E-2</v>
      </c>
      <c r="AD4" s="62">
        <f t="shared" si="11"/>
        <v>85.252789500000006</v>
      </c>
      <c r="AE4" s="62">
        <f t="shared" si="12"/>
        <v>17.418425500000001</v>
      </c>
      <c r="AF4" s="62">
        <f t="shared" si="13"/>
        <v>35.883181</v>
      </c>
    </row>
    <row r="5" spans="1:32" ht="15" customHeight="1" x14ac:dyDescent="0.2">
      <c r="A5" s="55">
        <v>2018</v>
      </c>
      <c r="B5" s="56">
        <v>8760</v>
      </c>
      <c r="C5" s="56">
        <v>133</v>
      </c>
      <c r="D5" s="56">
        <v>389581.33</v>
      </c>
      <c r="E5" s="56">
        <v>193383.973073125</v>
      </c>
      <c r="F5" s="56">
        <v>7224352.8180549098</v>
      </c>
      <c r="G5" s="56">
        <v>89488888.75</v>
      </c>
      <c r="H5" s="56">
        <v>350682.06078704901</v>
      </c>
      <c r="I5" s="56">
        <v>14380884.7227086</v>
      </c>
      <c r="J5" s="56">
        <v>19075488.75</v>
      </c>
      <c r="K5" s="56">
        <v>101239.866096374</v>
      </c>
      <c r="L5" s="56">
        <v>4438305.7641564701</v>
      </c>
      <c r="M5" s="56">
        <v>41231989.75</v>
      </c>
      <c r="N5" s="56">
        <v>45506.053999999996</v>
      </c>
      <c r="O5" s="56">
        <v>5089.22</v>
      </c>
      <c r="P5" s="56">
        <v>40697.622094999999</v>
      </c>
      <c r="Q5" s="57">
        <v>22.955616438356198</v>
      </c>
      <c r="R5" s="57">
        <v>18.0518630136986</v>
      </c>
      <c r="S5" s="58">
        <f t="shared" si="0"/>
        <v>44.47275456621005</v>
      </c>
      <c r="T5" s="58">
        <f t="shared" si="1"/>
        <v>37.357557109053388</v>
      </c>
      <c r="U5" s="58">
        <f t="shared" si="2"/>
        <v>41.008327287780382</v>
      </c>
      <c r="V5" s="58">
        <f t="shared" si="3"/>
        <v>43.839506464098655</v>
      </c>
      <c r="W5" s="59">
        <f t="shared" si="4"/>
        <v>0.84000996730338096</v>
      </c>
      <c r="X5" s="59">
        <f t="shared" si="5"/>
        <v>0.92210000679692761</v>
      </c>
      <c r="Y5" s="59">
        <f t="shared" si="6"/>
        <v>0.98576098763640496</v>
      </c>
      <c r="Z5" s="60">
        <f t="shared" si="7"/>
        <v>22.075796012913813</v>
      </c>
      <c r="AA5" s="60">
        <f t="shared" si="8"/>
        <v>40.032198719982766</v>
      </c>
      <c r="AB5" s="60">
        <f t="shared" si="9"/>
        <v>11.557062339768722</v>
      </c>
      <c r="AC5" s="61">
        <f t="shared" si="10"/>
        <v>1.5182648401826484E-2</v>
      </c>
      <c r="AD5" s="62">
        <f t="shared" si="11"/>
        <v>89.488888750000001</v>
      </c>
      <c r="AE5" s="62">
        <f t="shared" si="12"/>
        <v>19.075488750000002</v>
      </c>
      <c r="AF5" s="62">
        <f t="shared" si="13"/>
        <v>41.231989749999997</v>
      </c>
    </row>
    <row r="6" spans="1:32" ht="15" customHeight="1" x14ac:dyDescent="0.2">
      <c r="A6" s="55">
        <v>2019</v>
      </c>
      <c r="B6" s="56">
        <v>8760</v>
      </c>
      <c r="C6" s="56">
        <v>211</v>
      </c>
      <c r="D6" s="56">
        <v>329972.98</v>
      </c>
      <c r="E6" s="56">
        <v>196471.72000051901</v>
      </c>
      <c r="F6" s="56">
        <v>6358679.8804017901</v>
      </c>
      <c r="G6" s="56">
        <v>99621837.75</v>
      </c>
      <c r="H6" s="56">
        <v>372291.79878695199</v>
      </c>
      <c r="I6" s="56">
        <v>12992126.5761238</v>
      </c>
      <c r="J6" s="56">
        <v>24180530</v>
      </c>
      <c r="K6" s="56">
        <v>98647.379891728095</v>
      </c>
      <c r="L6" s="56">
        <v>3444160.25747428</v>
      </c>
      <c r="M6" s="56">
        <v>41914770.25</v>
      </c>
      <c r="N6" s="56">
        <v>50291.462</v>
      </c>
      <c r="O6" s="56">
        <v>5958.5280000000002</v>
      </c>
      <c r="P6" s="56">
        <v>42321.060055000002</v>
      </c>
      <c r="Q6" s="57">
        <v>13.583219178082199</v>
      </c>
      <c r="R6" s="57">
        <v>26.6033698630137</v>
      </c>
      <c r="S6" s="58">
        <f t="shared" si="0"/>
        <v>37.668148401826485</v>
      </c>
      <c r="T6" s="58">
        <f t="shared" si="1"/>
        <v>32.364351879166087</v>
      </c>
      <c r="U6" s="58">
        <f t="shared" si="2"/>
        <v>34.897697500875346</v>
      </c>
      <c r="V6" s="58">
        <f t="shared" si="3"/>
        <v>34.913854389791901</v>
      </c>
      <c r="W6" s="59">
        <f t="shared" si="4"/>
        <v>0.85919678169253411</v>
      </c>
      <c r="X6" s="59">
        <f t="shared" si="5"/>
        <v>0.92645109944356052</v>
      </c>
      <c r="Y6" s="59">
        <f t="shared" si="6"/>
        <v>0.92688002652392032</v>
      </c>
      <c r="Z6" s="60">
        <f t="shared" si="7"/>
        <v>22.428278538872032</v>
      </c>
      <c r="AA6" s="60">
        <f t="shared" si="8"/>
        <v>42.499063788464838</v>
      </c>
      <c r="AB6" s="60">
        <f t="shared" si="9"/>
        <v>11.261116425996358</v>
      </c>
      <c r="AC6" s="61">
        <f t="shared" si="10"/>
        <v>2.4086757990867579E-2</v>
      </c>
      <c r="AD6" s="62">
        <f t="shared" si="11"/>
        <v>99.621837749999997</v>
      </c>
      <c r="AE6" s="62">
        <f t="shared" si="12"/>
        <v>24.180530000000001</v>
      </c>
      <c r="AF6" s="62">
        <f t="shared" si="13"/>
        <v>41.914770249999997</v>
      </c>
    </row>
    <row r="7" spans="1:32" ht="15" customHeight="1" x14ac:dyDescent="0.2">
      <c r="A7" s="55">
        <v>2020</v>
      </c>
      <c r="B7" s="56">
        <v>8784</v>
      </c>
      <c r="C7" s="56">
        <v>298</v>
      </c>
      <c r="D7" s="56">
        <v>267663.75</v>
      </c>
      <c r="E7" s="56">
        <v>195715.08373833101</v>
      </c>
      <c r="F7" s="56">
        <v>4821768.7299220804</v>
      </c>
      <c r="G7" s="56">
        <v>103104686.75</v>
      </c>
      <c r="H7" s="56">
        <v>353867.16215454298</v>
      </c>
      <c r="I7" s="56">
        <v>9827722.5361589398</v>
      </c>
      <c r="J7" s="56">
        <v>26865490.5</v>
      </c>
      <c r="K7" s="56">
        <v>96807.761450803198</v>
      </c>
      <c r="L7" s="56">
        <v>2381442.5934891901</v>
      </c>
      <c r="M7" s="56">
        <v>45822417.5</v>
      </c>
      <c r="N7" s="56">
        <v>52681.012000000002</v>
      </c>
      <c r="O7" s="56">
        <v>6905.2079999999996</v>
      </c>
      <c r="P7" s="56">
        <v>47333.412955</v>
      </c>
      <c r="Q7" s="57">
        <v>9.4024590163934398</v>
      </c>
      <c r="R7" s="57">
        <v>25.840273224043699</v>
      </c>
      <c r="S7" s="58">
        <f t="shared" si="0"/>
        <v>30.471738387978142</v>
      </c>
      <c r="T7" s="58">
        <f t="shared" si="1"/>
        <v>24.636674076530216</v>
      </c>
      <c r="U7" s="58">
        <f t="shared" si="2"/>
        <v>27.772349591078807</v>
      </c>
      <c r="V7" s="58">
        <f t="shared" si="3"/>
        <v>24.599707273465022</v>
      </c>
      <c r="W7" s="59">
        <f t="shared" si="4"/>
        <v>0.80850897847856285</v>
      </c>
      <c r="X7" s="59">
        <f t="shared" si="5"/>
        <v>0.91141336399880912</v>
      </c>
      <c r="Y7" s="59">
        <f t="shared" si="6"/>
        <v>0.80729582803094091</v>
      </c>
      <c r="Z7" s="60">
        <f t="shared" si="7"/>
        <v>22.280861081321838</v>
      </c>
      <c r="AA7" s="60">
        <f t="shared" si="8"/>
        <v>40.285423742548154</v>
      </c>
      <c r="AB7" s="60">
        <f t="shared" si="9"/>
        <v>11.020920019444809</v>
      </c>
      <c r="AC7" s="61">
        <f t="shared" si="10"/>
        <v>3.3925318761384333E-2</v>
      </c>
      <c r="AD7" s="62">
        <f t="shared" si="11"/>
        <v>103.10468675</v>
      </c>
      <c r="AE7" s="62">
        <f t="shared" si="12"/>
        <v>26.8654905</v>
      </c>
      <c r="AF7" s="62">
        <f t="shared" si="13"/>
        <v>45.8224175</v>
      </c>
    </row>
    <row r="8" spans="1:32" ht="15" customHeight="1" x14ac:dyDescent="0.2">
      <c r="A8" s="55">
        <v>2021</v>
      </c>
      <c r="B8" s="56">
        <v>8760</v>
      </c>
      <c r="C8" s="56">
        <v>139</v>
      </c>
      <c r="D8" s="56">
        <v>848404.46</v>
      </c>
      <c r="E8" s="56">
        <v>167023.23639124201</v>
      </c>
      <c r="F8" s="56">
        <v>13446979.235147299</v>
      </c>
      <c r="G8" s="56">
        <v>89658637.25</v>
      </c>
      <c r="H8" s="56">
        <v>310019.48665957898</v>
      </c>
      <c r="I8" s="56">
        <v>28623071.149792399</v>
      </c>
      <c r="J8" s="56">
        <v>23993107.25</v>
      </c>
      <c r="K8" s="56">
        <v>90611.222304196606</v>
      </c>
      <c r="L8" s="56">
        <v>6845879.5393680101</v>
      </c>
      <c r="M8" s="56">
        <v>46607351.75</v>
      </c>
      <c r="N8" s="56">
        <v>52681.012000000002</v>
      </c>
      <c r="O8" s="56">
        <v>7710.4080000000004</v>
      </c>
      <c r="P8" s="56">
        <v>47333.412955</v>
      </c>
      <c r="Q8" s="57">
        <v>46.128287671232897</v>
      </c>
      <c r="R8" s="57">
        <v>54.3153698630137</v>
      </c>
      <c r="S8" s="58">
        <f t="shared" si="0"/>
        <v>96.849824200913233</v>
      </c>
      <c r="T8" s="58">
        <f t="shared" si="1"/>
        <v>80.509631627832604</v>
      </c>
      <c r="U8" s="58">
        <f t="shared" si="2"/>
        <v>92.326683906880803</v>
      </c>
      <c r="V8" s="58">
        <f t="shared" si="3"/>
        <v>75.55222593052855</v>
      </c>
      <c r="W8" s="59">
        <f t="shared" si="4"/>
        <v>0.83128319841672416</v>
      </c>
      <c r="X8" s="59">
        <f t="shared" si="5"/>
        <v>0.9532973825058344</v>
      </c>
      <c r="Y8" s="59">
        <f t="shared" si="6"/>
        <v>0.78009667600218668</v>
      </c>
      <c r="Z8" s="60">
        <f t="shared" si="7"/>
        <v>19.066579496717125</v>
      </c>
      <c r="AA8" s="60">
        <f t="shared" si="8"/>
        <v>35.390352358399426</v>
      </c>
      <c r="AB8" s="60">
        <f t="shared" si="9"/>
        <v>10.343746838378609</v>
      </c>
      <c r="AC8" s="61">
        <f t="shared" si="10"/>
        <v>1.5867579908675798E-2</v>
      </c>
      <c r="AD8" s="62">
        <f t="shared" si="11"/>
        <v>89.658637249999998</v>
      </c>
      <c r="AE8" s="62">
        <f t="shared" si="12"/>
        <v>23.993107250000001</v>
      </c>
      <c r="AF8" s="62">
        <f t="shared" si="13"/>
        <v>46.607351749999999</v>
      </c>
    </row>
    <row r="9" spans="1:32" ht="15" customHeight="1" x14ac:dyDescent="0.2">
      <c r="A9" s="55">
        <v>2022</v>
      </c>
      <c r="B9" s="56">
        <v>8760</v>
      </c>
      <c r="C9" s="56">
        <v>70</v>
      </c>
      <c r="D9" s="56">
        <v>2062452.99</v>
      </c>
      <c r="E9" s="56">
        <v>186785.542096905</v>
      </c>
      <c r="F9" s="56">
        <v>31451778.125289701</v>
      </c>
      <c r="G9" s="56">
        <v>100365399.5</v>
      </c>
      <c r="H9" s="56">
        <v>319469.89293762401</v>
      </c>
      <c r="I9" s="56">
        <v>62091158.828363597</v>
      </c>
      <c r="J9" s="56">
        <v>24729870.5</v>
      </c>
      <c r="K9" s="56">
        <v>107436.053437657</v>
      </c>
      <c r="L9" s="56">
        <v>24016475.3368132</v>
      </c>
      <c r="M9" s="56">
        <v>55287896.25</v>
      </c>
      <c r="N9" s="56">
        <v>53732.9594</v>
      </c>
      <c r="O9" s="56">
        <v>7740.9080000000004</v>
      </c>
      <c r="P9" s="56">
        <v>51461.212955000003</v>
      </c>
      <c r="Q9" s="57">
        <v>121.04561643835601</v>
      </c>
      <c r="R9" s="57">
        <v>83.677479452054797</v>
      </c>
      <c r="S9" s="58">
        <f t="shared" si="0"/>
        <v>235.43983904109589</v>
      </c>
      <c r="T9" s="58">
        <f t="shared" si="1"/>
        <v>168.38443581983668</v>
      </c>
      <c r="U9" s="58">
        <f t="shared" si="2"/>
        <v>194.3568398806419</v>
      </c>
      <c r="V9" s="58">
        <f t="shared" si="3"/>
        <v>223.54204727698306</v>
      </c>
      <c r="W9" s="59">
        <f t="shared" si="4"/>
        <v>0.71519092310645549</v>
      </c>
      <c r="X9" s="59">
        <f t="shared" si="5"/>
        <v>0.82550532090160422</v>
      </c>
      <c r="Y9" s="59">
        <f t="shared" si="6"/>
        <v>0.94946568171057877</v>
      </c>
      <c r="Z9" s="60">
        <f t="shared" si="7"/>
        <v>21.322550467683218</v>
      </c>
      <c r="AA9" s="60">
        <f t="shared" si="8"/>
        <v>36.469165860459363</v>
      </c>
      <c r="AB9" s="60">
        <f t="shared" si="9"/>
        <v>12.264389661832992</v>
      </c>
      <c r="AC9" s="61">
        <f t="shared" si="10"/>
        <v>7.9908675799086754E-3</v>
      </c>
      <c r="AD9" s="62">
        <f t="shared" si="11"/>
        <v>100.3653995</v>
      </c>
      <c r="AE9" s="62">
        <f t="shared" si="12"/>
        <v>24.729870500000001</v>
      </c>
      <c r="AF9" s="62">
        <f t="shared" si="13"/>
        <v>55.287896250000003</v>
      </c>
    </row>
    <row r="10" spans="1:32" ht="15" customHeight="1" x14ac:dyDescent="0.2">
      <c r="A10" s="55">
        <v>2023</v>
      </c>
      <c r="B10" s="56">
        <v>1439</v>
      </c>
      <c r="C10" s="56">
        <v>13</v>
      </c>
      <c r="D10" s="56">
        <v>177326.98</v>
      </c>
      <c r="E10" s="56">
        <v>46401.8472617386</v>
      </c>
      <c r="F10" s="56">
        <v>4500666.9114106204</v>
      </c>
      <c r="G10" s="56">
        <v>25028466.5</v>
      </c>
      <c r="H10" s="56">
        <v>56252.851732639101</v>
      </c>
      <c r="I10" s="56">
        <v>6074294.7060280303</v>
      </c>
      <c r="J10" s="56">
        <v>4360304.25</v>
      </c>
      <c r="K10" s="56">
        <v>5895.4799659560404</v>
      </c>
      <c r="L10" s="56">
        <v>723987.56222146295</v>
      </c>
      <c r="M10" s="56">
        <v>3151653</v>
      </c>
      <c r="N10" s="56">
        <v>53732.9594</v>
      </c>
      <c r="O10" s="56">
        <v>7740.9080000000004</v>
      </c>
      <c r="P10" s="56">
        <v>51461.212955000003</v>
      </c>
      <c r="Q10" s="57">
        <v>58.553333333333299</v>
      </c>
      <c r="R10" s="57">
        <v>88.844166666666695</v>
      </c>
      <c r="S10" s="58">
        <f t="shared" si="0"/>
        <v>123.22931202223768</v>
      </c>
      <c r="T10" s="58">
        <f t="shared" si="1"/>
        <v>96.993270246844645</v>
      </c>
      <c r="U10" s="58">
        <f t="shared" si="2"/>
        <v>107.98198702704339</v>
      </c>
      <c r="V10" s="58">
        <f t="shared" si="3"/>
        <v>122.80383724517628</v>
      </c>
      <c r="W10" s="59">
        <f t="shared" si="4"/>
        <v>0.78709577011467424</v>
      </c>
      <c r="X10" s="59">
        <f t="shared" si="5"/>
        <v>0.87626868360311228</v>
      </c>
      <c r="Y10" s="59">
        <f t="shared" si="6"/>
        <v>0.99654729244139073</v>
      </c>
      <c r="Z10" s="60">
        <f t="shared" si="7"/>
        <v>32.245898027615425</v>
      </c>
      <c r="AA10" s="60">
        <f t="shared" si="8"/>
        <v>39.091627333314179</v>
      </c>
      <c r="AB10" s="60">
        <f t="shared" si="9"/>
        <v>4.0969283988575684</v>
      </c>
      <c r="AC10" s="61">
        <f t="shared" si="10"/>
        <v>9.0340514246004169E-3</v>
      </c>
      <c r="AD10" s="62">
        <f t="shared" si="11"/>
        <v>25.0284665</v>
      </c>
      <c r="AE10" s="62">
        <f t="shared" si="12"/>
        <v>4.3603042500000004</v>
      </c>
      <c r="AF10" s="62">
        <f t="shared" si="13"/>
        <v>3.151653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A5F"/>
  </sheetPr>
  <dimension ref="A1:Y100"/>
  <sheetViews>
    <sheetView zoomScale="82" zoomScaleNormal="82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57" sqref="G57"/>
    </sheetView>
  </sheetViews>
  <sheetFormatPr baseColWidth="10" defaultColWidth="8.6640625" defaultRowHeight="15" x14ac:dyDescent="0.2"/>
  <cols>
    <col min="1" max="2" width="7" customWidth="1"/>
    <col min="3" max="3" width="11" customWidth="1"/>
    <col min="4" max="25" width="14" customWidth="1"/>
  </cols>
  <sheetData>
    <row r="1" spans="1:25" ht="75" customHeight="1" x14ac:dyDescent="0.2">
      <c r="A1" s="53" t="s">
        <v>334</v>
      </c>
      <c r="B1" s="53" t="s">
        <v>366</v>
      </c>
      <c r="C1" s="53" t="s">
        <v>367</v>
      </c>
      <c r="D1" s="53" t="s">
        <v>335</v>
      </c>
      <c r="E1" s="53" t="s">
        <v>336</v>
      </c>
      <c r="F1" s="53" t="s">
        <v>337</v>
      </c>
      <c r="G1" s="53" t="s">
        <v>338</v>
      </c>
      <c r="H1" s="53" t="s">
        <v>339</v>
      </c>
      <c r="I1" s="53" t="s">
        <v>341</v>
      </c>
      <c r="J1" s="53" t="s">
        <v>342</v>
      </c>
      <c r="K1" s="53" t="s">
        <v>344</v>
      </c>
      <c r="L1" s="53" t="s">
        <v>345</v>
      </c>
      <c r="M1" s="53" t="s">
        <v>350</v>
      </c>
      <c r="N1" s="53" t="s">
        <v>351</v>
      </c>
      <c r="O1" s="54" t="s">
        <v>352</v>
      </c>
      <c r="P1" s="54" t="s">
        <v>353</v>
      </c>
      <c r="Q1" s="54" t="s">
        <v>354</v>
      </c>
      <c r="R1" s="54" t="s">
        <v>355</v>
      </c>
      <c r="S1" s="54" t="s">
        <v>356</v>
      </c>
      <c r="T1" s="54" t="s">
        <v>357</v>
      </c>
      <c r="U1" s="54" t="s">
        <v>358</v>
      </c>
      <c r="V1" s="54" t="s">
        <v>359</v>
      </c>
      <c r="W1" s="54" t="s">
        <v>360</v>
      </c>
      <c r="X1" s="54" t="s">
        <v>361</v>
      </c>
      <c r="Y1" s="54" t="s">
        <v>362</v>
      </c>
    </row>
    <row r="2" spans="1:25" ht="15" customHeight="1" x14ac:dyDescent="0.2">
      <c r="A2" s="55">
        <v>2015</v>
      </c>
      <c r="B2" s="55">
        <v>1</v>
      </c>
      <c r="C2" s="63">
        <v>42005</v>
      </c>
      <c r="D2" s="56">
        <v>649</v>
      </c>
      <c r="E2" s="56">
        <v>12</v>
      </c>
      <c r="F2" s="56">
        <v>20149.43</v>
      </c>
      <c r="G2" s="56">
        <v>26015.079522538101</v>
      </c>
      <c r="H2" s="56">
        <v>518503.75299731799</v>
      </c>
      <c r="I2" s="56">
        <v>16461.588090891899</v>
      </c>
      <c r="J2" s="56">
        <v>383112.87939825002</v>
      </c>
      <c r="K2" s="56">
        <v>1468.73866157466</v>
      </c>
      <c r="L2" s="56">
        <v>45174.1163488413</v>
      </c>
      <c r="M2" s="57">
        <v>19.682193548387101</v>
      </c>
      <c r="N2" s="57"/>
      <c r="O2" s="58">
        <f t="shared" ref="O2:O33" si="0">IFERROR(F2/D2,"")</f>
        <v>31.046887519260402</v>
      </c>
      <c r="P2" s="58">
        <f t="shared" ref="P2:P33" si="1">IFERROR(H2/G2,"")</f>
        <v>19.930892486725384</v>
      </c>
      <c r="Q2" s="58">
        <f t="shared" ref="Q2:Q33" si="2">IFERROR(J2/I2,"")</f>
        <v>23.27314213445932</v>
      </c>
      <c r="R2" s="58">
        <f t="shared" ref="R2:R33" si="3">IFERROR(L2/K2,"")</f>
        <v>30.757082611558243</v>
      </c>
      <c r="S2" s="59">
        <f t="shared" ref="S2:S33" si="4">IFERROR(P2/O2,"")</f>
        <v>0.64196104921502861</v>
      </c>
      <c r="T2" s="59">
        <f t="shared" ref="T2:T33" si="5">IFERROR(Q2/O2,"")</f>
        <v>0.74961273074544033</v>
      </c>
      <c r="U2" s="59">
        <f t="shared" ref="U2:U33" si="6">IFERROR(R2/O2,"")</f>
        <v>0.99066557291701551</v>
      </c>
      <c r="V2" s="60">
        <f t="shared" ref="V2:V33" si="7">IFERROR(G2/D2,"")</f>
        <v>40.084868293587213</v>
      </c>
      <c r="W2" s="60">
        <f t="shared" ref="W2:W33" si="8">IFERROR(I2/D2,"")</f>
        <v>25.364542512930505</v>
      </c>
      <c r="X2" s="60">
        <f t="shared" ref="X2:X33" si="9">IFERROR(K2/D2,"")</f>
        <v>2.2630796018099537</v>
      </c>
      <c r="Y2" s="61">
        <f t="shared" ref="Y2:Y33" si="10">IFERROR(E2/D2,"")</f>
        <v>1.8489984591679508E-2</v>
      </c>
    </row>
    <row r="3" spans="1:25" ht="15" customHeight="1" x14ac:dyDescent="0.2">
      <c r="A3" s="55">
        <v>2015</v>
      </c>
      <c r="B3" s="55">
        <v>2</v>
      </c>
      <c r="C3" s="63">
        <v>42036</v>
      </c>
      <c r="D3" s="56">
        <v>672</v>
      </c>
      <c r="E3" s="56">
        <v>8</v>
      </c>
      <c r="F3" s="56">
        <v>24658.49</v>
      </c>
      <c r="G3" s="56">
        <v>13926.8783703299</v>
      </c>
      <c r="H3" s="56">
        <v>440786.696179558</v>
      </c>
      <c r="I3" s="56">
        <v>11480.627841073499</v>
      </c>
      <c r="J3" s="56">
        <v>385949.02765424398</v>
      </c>
      <c r="K3" s="56">
        <v>3381.1501692541501</v>
      </c>
      <c r="L3" s="56">
        <v>126118.087316103</v>
      </c>
      <c r="M3" s="57">
        <v>22.5021428571429</v>
      </c>
      <c r="N3" s="57"/>
      <c r="O3" s="58">
        <f t="shared" si="0"/>
        <v>36.694181547619053</v>
      </c>
      <c r="P3" s="58">
        <f t="shared" si="1"/>
        <v>31.650071499053141</v>
      </c>
      <c r="Q3" s="58">
        <f t="shared" si="2"/>
        <v>33.617414743944501</v>
      </c>
      <c r="R3" s="58">
        <f t="shared" si="3"/>
        <v>37.300350769076744</v>
      </c>
      <c r="S3" s="59">
        <f t="shared" si="4"/>
        <v>0.86253651571380519</v>
      </c>
      <c r="T3" s="59">
        <f t="shared" si="5"/>
        <v>0.91615109878709933</v>
      </c>
      <c r="U3" s="59">
        <f t="shared" si="6"/>
        <v>1.0165194915349467</v>
      </c>
      <c r="V3" s="60">
        <f t="shared" si="7"/>
        <v>20.724521384419493</v>
      </c>
      <c r="W3" s="60">
        <f t="shared" si="8"/>
        <v>17.08426762064509</v>
      </c>
      <c r="X3" s="60">
        <f t="shared" si="9"/>
        <v>5.0314734661520095</v>
      </c>
      <c r="Y3" s="61">
        <f t="shared" si="10"/>
        <v>1.1904761904761904E-2</v>
      </c>
    </row>
    <row r="4" spans="1:25" ht="15" customHeight="1" x14ac:dyDescent="0.2">
      <c r="A4" s="55">
        <v>2015</v>
      </c>
      <c r="B4" s="55">
        <v>3</v>
      </c>
      <c r="C4" s="63">
        <v>42064</v>
      </c>
      <c r="D4" s="56">
        <v>744</v>
      </c>
      <c r="E4" s="56">
        <v>14</v>
      </c>
      <c r="F4" s="56">
        <v>23285.59</v>
      </c>
      <c r="G4" s="56">
        <v>18693.667911595101</v>
      </c>
      <c r="H4" s="56">
        <v>473206.468900448</v>
      </c>
      <c r="I4" s="56">
        <v>16144.379447818499</v>
      </c>
      <c r="J4" s="56">
        <v>453955.47421662498</v>
      </c>
      <c r="K4" s="56">
        <v>7501.70040956515</v>
      </c>
      <c r="L4" s="56">
        <v>229122.56259874499</v>
      </c>
      <c r="M4" s="57">
        <v>21.803451612903199</v>
      </c>
      <c r="N4" s="57"/>
      <c r="O4" s="58">
        <f t="shared" si="0"/>
        <v>31.297836021505375</v>
      </c>
      <c r="P4" s="58">
        <f t="shared" si="1"/>
        <v>25.313730357161891</v>
      </c>
      <c r="Q4" s="58">
        <f t="shared" si="2"/>
        <v>28.118483939496695</v>
      </c>
      <c r="R4" s="58">
        <f t="shared" si="3"/>
        <v>30.542750321860229</v>
      </c>
      <c r="S4" s="59">
        <f t="shared" si="4"/>
        <v>0.8088012966701057</v>
      </c>
      <c r="T4" s="59">
        <f t="shared" si="5"/>
        <v>0.89841623300013196</v>
      </c>
      <c r="U4" s="59">
        <f t="shared" si="6"/>
        <v>0.97587418826252681</v>
      </c>
      <c r="V4" s="60">
        <f t="shared" si="7"/>
        <v>25.125897730638577</v>
      </c>
      <c r="W4" s="60">
        <f t="shared" si="8"/>
        <v>21.69943474169153</v>
      </c>
      <c r="X4" s="60">
        <f t="shared" si="9"/>
        <v>10.082930658017675</v>
      </c>
      <c r="Y4" s="61">
        <f t="shared" si="10"/>
        <v>1.8817204301075269E-2</v>
      </c>
    </row>
    <row r="5" spans="1:25" ht="15" customHeight="1" x14ac:dyDescent="0.2">
      <c r="A5" s="55">
        <v>2015</v>
      </c>
      <c r="B5" s="55">
        <v>4</v>
      </c>
      <c r="C5" s="63">
        <v>42095</v>
      </c>
      <c r="D5" s="56">
        <v>720</v>
      </c>
      <c r="E5" s="56">
        <v>14</v>
      </c>
      <c r="F5" s="56">
        <v>21440.59</v>
      </c>
      <c r="G5" s="56">
        <v>13131.263659677699</v>
      </c>
      <c r="H5" s="56">
        <v>338677.39711591101</v>
      </c>
      <c r="I5" s="56">
        <v>13745.9420588018</v>
      </c>
      <c r="J5" s="56">
        <v>374333.92550957802</v>
      </c>
      <c r="K5" s="56">
        <v>11639.6922552577</v>
      </c>
      <c r="L5" s="56">
        <v>307261.24638982699</v>
      </c>
      <c r="M5" s="57">
        <v>22.1007</v>
      </c>
      <c r="N5" s="57"/>
      <c r="O5" s="58">
        <f t="shared" si="0"/>
        <v>29.778597222222224</v>
      </c>
      <c r="P5" s="58">
        <f t="shared" si="1"/>
        <v>25.791683564765442</v>
      </c>
      <c r="Q5" s="58">
        <f t="shared" si="2"/>
        <v>27.23232237617971</v>
      </c>
      <c r="R5" s="58">
        <f t="shared" si="3"/>
        <v>26.397712211938916</v>
      </c>
      <c r="S5" s="59">
        <f t="shared" si="4"/>
        <v>0.86611479285929716</v>
      </c>
      <c r="T5" s="59">
        <f t="shared" si="5"/>
        <v>0.91449312312997866</v>
      </c>
      <c r="U5" s="59">
        <f t="shared" si="6"/>
        <v>0.88646594112363597</v>
      </c>
      <c r="V5" s="60">
        <f t="shared" si="7"/>
        <v>18.237866193996805</v>
      </c>
      <c r="W5" s="60">
        <f t="shared" si="8"/>
        <v>19.091586192780277</v>
      </c>
      <c r="X5" s="60">
        <f t="shared" si="9"/>
        <v>16.166239243413472</v>
      </c>
      <c r="Y5" s="61">
        <f t="shared" si="10"/>
        <v>1.9444444444444445E-2</v>
      </c>
    </row>
    <row r="6" spans="1:25" ht="15" customHeight="1" x14ac:dyDescent="0.2">
      <c r="A6" s="55">
        <v>2015</v>
      </c>
      <c r="B6" s="55">
        <v>5</v>
      </c>
      <c r="C6" s="63">
        <v>42125</v>
      </c>
      <c r="D6" s="56">
        <v>744</v>
      </c>
      <c r="E6" s="56">
        <v>17</v>
      </c>
      <c r="F6" s="56">
        <v>18845.810000000001</v>
      </c>
      <c r="G6" s="56">
        <v>13523.990818570101</v>
      </c>
      <c r="H6" s="56">
        <v>309416.96061055298</v>
      </c>
      <c r="I6" s="56">
        <v>19091.793128974699</v>
      </c>
      <c r="J6" s="56">
        <v>457200.735808742</v>
      </c>
      <c r="K6" s="56">
        <v>11577.237071285601</v>
      </c>
      <c r="L6" s="56">
        <v>290633.51958169101</v>
      </c>
      <c r="M6" s="57">
        <v>20.5320322580645</v>
      </c>
      <c r="N6" s="57"/>
      <c r="O6" s="58">
        <f t="shared" si="0"/>
        <v>25.330389784946238</v>
      </c>
      <c r="P6" s="58">
        <f t="shared" si="1"/>
        <v>22.879116435489255</v>
      </c>
      <c r="Q6" s="58">
        <f t="shared" si="2"/>
        <v>23.947501039851012</v>
      </c>
      <c r="R6" s="58">
        <f t="shared" si="3"/>
        <v>25.103875630441543</v>
      </c>
      <c r="S6" s="59">
        <f t="shared" si="4"/>
        <v>0.90322796568595376</v>
      </c>
      <c r="T6" s="59">
        <f t="shared" si="5"/>
        <v>0.9454059429469549</v>
      </c>
      <c r="U6" s="59">
        <f t="shared" si="6"/>
        <v>0.99105761275575355</v>
      </c>
      <c r="V6" s="60">
        <f t="shared" si="7"/>
        <v>18.177407014207123</v>
      </c>
      <c r="W6" s="60">
        <f t="shared" si="8"/>
        <v>25.661012270127284</v>
      </c>
      <c r="X6" s="60">
        <f t="shared" si="9"/>
        <v>15.560802515168819</v>
      </c>
      <c r="Y6" s="61">
        <f t="shared" si="10"/>
        <v>2.2849462365591398E-2</v>
      </c>
    </row>
    <row r="7" spans="1:25" ht="15" customHeight="1" x14ac:dyDescent="0.2">
      <c r="A7" s="55">
        <v>2015</v>
      </c>
      <c r="B7" s="55">
        <v>6</v>
      </c>
      <c r="C7" s="63">
        <v>42156</v>
      </c>
      <c r="D7" s="56">
        <v>720</v>
      </c>
      <c r="E7" s="56">
        <v>0</v>
      </c>
      <c r="F7" s="56">
        <v>21679.01</v>
      </c>
      <c r="G7" s="56">
        <v>10301.3152168007</v>
      </c>
      <c r="H7" s="56">
        <v>289449.334600929</v>
      </c>
      <c r="I7" s="56">
        <v>16129.6308758707</v>
      </c>
      <c r="J7" s="56">
        <v>462555.500100946</v>
      </c>
      <c r="K7" s="56">
        <v>11947.8723337642</v>
      </c>
      <c r="L7" s="56">
        <v>363843.63262256799</v>
      </c>
      <c r="M7" s="57">
        <v>20.5216666666667</v>
      </c>
      <c r="N7" s="57"/>
      <c r="O7" s="58">
        <f t="shared" si="0"/>
        <v>30.109736111111108</v>
      </c>
      <c r="P7" s="58">
        <f t="shared" si="1"/>
        <v>28.098289248430927</v>
      </c>
      <c r="Q7" s="58">
        <f t="shared" si="2"/>
        <v>28.677376665383647</v>
      </c>
      <c r="R7" s="58">
        <f t="shared" si="3"/>
        <v>30.452587913444699</v>
      </c>
      <c r="S7" s="59">
        <f t="shared" si="4"/>
        <v>0.93319613113653577</v>
      </c>
      <c r="T7" s="59">
        <f t="shared" si="5"/>
        <v>0.9524286948101518</v>
      </c>
      <c r="U7" s="59">
        <f t="shared" si="6"/>
        <v>1.0113867421842688</v>
      </c>
      <c r="V7" s="60">
        <f t="shared" si="7"/>
        <v>14.307382245556528</v>
      </c>
      <c r="W7" s="60">
        <f t="shared" si="8"/>
        <v>22.402265105375971</v>
      </c>
      <c r="X7" s="60">
        <f t="shared" si="9"/>
        <v>16.594267130228054</v>
      </c>
      <c r="Y7" s="61">
        <f t="shared" si="10"/>
        <v>0</v>
      </c>
    </row>
    <row r="8" spans="1:25" ht="15" customHeight="1" x14ac:dyDescent="0.2">
      <c r="A8" s="55">
        <v>2015</v>
      </c>
      <c r="B8" s="55">
        <v>7</v>
      </c>
      <c r="C8" s="63">
        <v>42186</v>
      </c>
      <c r="D8" s="56">
        <v>744</v>
      </c>
      <c r="E8" s="56">
        <v>3</v>
      </c>
      <c r="F8" s="56">
        <v>26024.880000000001</v>
      </c>
      <c r="G8" s="56">
        <v>14762.363113064799</v>
      </c>
      <c r="H8" s="56">
        <v>434277.59537726198</v>
      </c>
      <c r="I8" s="56">
        <v>23808.6998216629</v>
      </c>
      <c r="J8" s="56">
        <v>737757.29154749506</v>
      </c>
      <c r="K8" s="56">
        <v>12904.8932538513</v>
      </c>
      <c r="L8" s="56">
        <v>456123.87631778303</v>
      </c>
      <c r="M8" s="57">
        <v>20.926612903225799</v>
      </c>
      <c r="N8" s="57"/>
      <c r="O8" s="58">
        <f t="shared" si="0"/>
        <v>34.979677419354843</v>
      </c>
      <c r="P8" s="58">
        <f t="shared" si="1"/>
        <v>29.417891434530773</v>
      </c>
      <c r="Q8" s="58">
        <f t="shared" si="2"/>
        <v>30.986878623091773</v>
      </c>
      <c r="R8" s="58">
        <f t="shared" si="3"/>
        <v>35.345032875933221</v>
      </c>
      <c r="S8" s="59">
        <f t="shared" si="4"/>
        <v>0.84099950613762264</v>
      </c>
      <c r="T8" s="59">
        <f t="shared" si="5"/>
        <v>0.88585375592818394</v>
      </c>
      <c r="U8" s="59">
        <f t="shared" si="6"/>
        <v>1.0104447920487747</v>
      </c>
      <c r="V8" s="60">
        <f t="shared" si="7"/>
        <v>19.841885904656987</v>
      </c>
      <c r="W8" s="60">
        <f t="shared" si="8"/>
        <v>32.000940620514648</v>
      </c>
      <c r="X8" s="60">
        <f t="shared" si="9"/>
        <v>17.345286631520565</v>
      </c>
      <c r="Y8" s="61">
        <f t="shared" si="10"/>
        <v>4.0322580645161289E-3</v>
      </c>
    </row>
    <row r="9" spans="1:25" ht="15" customHeight="1" x14ac:dyDescent="0.2">
      <c r="A9" s="55">
        <v>2015</v>
      </c>
      <c r="B9" s="55">
        <v>8</v>
      </c>
      <c r="C9" s="63">
        <v>42217</v>
      </c>
      <c r="D9" s="56">
        <v>744</v>
      </c>
      <c r="E9" s="56">
        <v>0</v>
      </c>
      <c r="F9" s="56">
        <v>23520.37</v>
      </c>
      <c r="G9" s="56">
        <v>9429.7816036240292</v>
      </c>
      <c r="H9" s="56">
        <v>279315.66057240299</v>
      </c>
      <c r="I9" s="56">
        <v>19273.023991385999</v>
      </c>
      <c r="J9" s="56">
        <v>578919.76218917198</v>
      </c>
      <c r="K9" s="56">
        <v>12104.6676752477</v>
      </c>
      <c r="L9" s="56">
        <v>371186.90791581402</v>
      </c>
      <c r="M9" s="57">
        <v>19.607258064516099</v>
      </c>
      <c r="N9" s="57"/>
      <c r="O9" s="58">
        <f t="shared" si="0"/>
        <v>31.613400537634408</v>
      </c>
      <c r="P9" s="58">
        <f t="shared" si="1"/>
        <v>29.620586384000358</v>
      </c>
      <c r="Q9" s="58">
        <f t="shared" si="2"/>
        <v>30.037827091789946</v>
      </c>
      <c r="R9" s="58">
        <f t="shared" si="3"/>
        <v>30.664774769061832</v>
      </c>
      <c r="S9" s="59">
        <f t="shared" si="4"/>
        <v>0.93696299291619423</v>
      </c>
      <c r="T9" s="59">
        <f t="shared" si="5"/>
        <v>0.95016121584361646</v>
      </c>
      <c r="U9" s="59">
        <f t="shared" si="6"/>
        <v>0.96999292222792433</v>
      </c>
      <c r="V9" s="60">
        <f t="shared" si="7"/>
        <v>12.67443763927961</v>
      </c>
      <c r="W9" s="60">
        <f t="shared" si="8"/>
        <v>25.904602138959675</v>
      </c>
      <c r="X9" s="60">
        <f t="shared" si="9"/>
        <v>16.269714617268413</v>
      </c>
      <c r="Y9" s="61">
        <f t="shared" si="10"/>
        <v>0</v>
      </c>
    </row>
    <row r="10" spans="1:25" ht="15" customHeight="1" x14ac:dyDescent="0.2">
      <c r="A10" s="55">
        <v>2015</v>
      </c>
      <c r="B10" s="55">
        <v>9</v>
      </c>
      <c r="C10" s="63">
        <v>42248</v>
      </c>
      <c r="D10" s="56">
        <v>720</v>
      </c>
      <c r="E10" s="56">
        <v>13</v>
      </c>
      <c r="F10" s="56">
        <v>22959.8</v>
      </c>
      <c r="G10" s="56">
        <v>13695.574873989</v>
      </c>
      <c r="H10" s="56">
        <v>380843.26494447503</v>
      </c>
      <c r="I10" s="56">
        <v>25790.420269860999</v>
      </c>
      <c r="J10" s="56">
        <v>778335.800834483</v>
      </c>
      <c r="K10" s="56">
        <v>8467.3000933148105</v>
      </c>
      <c r="L10" s="56">
        <v>266295.59887074499</v>
      </c>
      <c r="M10" s="57">
        <v>19.176666666666701</v>
      </c>
      <c r="N10" s="57"/>
      <c r="O10" s="58">
        <f t="shared" si="0"/>
        <v>31.888611111111111</v>
      </c>
      <c r="P10" s="58">
        <f t="shared" si="1"/>
        <v>27.807760422513017</v>
      </c>
      <c r="Q10" s="58">
        <f t="shared" si="2"/>
        <v>30.179260077589962</v>
      </c>
      <c r="R10" s="58">
        <f t="shared" si="3"/>
        <v>31.449883190155671</v>
      </c>
      <c r="S10" s="59">
        <f t="shared" si="4"/>
        <v>0.87202795774394259</v>
      </c>
      <c r="T10" s="59">
        <f t="shared" si="5"/>
        <v>0.94639619055326152</v>
      </c>
      <c r="U10" s="59">
        <f t="shared" si="6"/>
        <v>0.98624186172841588</v>
      </c>
      <c r="V10" s="60">
        <f t="shared" si="7"/>
        <v>19.021631769429167</v>
      </c>
      <c r="W10" s="60">
        <f t="shared" si="8"/>
        <v>35.820028152584719</v>
      </c>
      <c r="X10" s="60">
        <f t="shared" si="9"/>
        <v>11.760139018492792</v>
      </c>
      <c r="Y10" s="61">
        <f t="shared" si="10"/>
        <v>1.8055555555555554E-2</v>
      </c>
    </row>
    <row r="11" spans="1:25" ht="15" customHeight="1" x14ac:dyDescent="0.2">
      <c r="A11" s="55">
        <v>2015</v>
      </c>
      <c r="B11" s="55">
        <v>10</v>
      </c>
      <c r="C11" s="63">
        <v>42278</v>
      </c>
      <c r="D11" s="56">
        <v>744</v>
      </c>
      <c r="E11" s="56">
        <v>0</v>
      </c>
      <c r="F11" s="56">
        <v>29290.46</v>
      </c>
      <c r="G11" s="56">
        <v>8855.8916955928999</v>
      </c>
      <c r="H11" s="56">
        <v>323694.49087332998</v>
      </c>
      <c r="I11" s="56">
        <v>27191.662593742101</v>
      </c>
      <c r="J11" s="56">
        <v>1039977.7662956601</v>
      </c>
      <c r="K11" s="56">
        <v>5107.7556020152997</v>
      </c>
      <c r="L11" s="56">
        <v>191503.973894255</v>
      </c>
      <c r="M11" s="57">
        <v>18.287903225806499</v>
      </c>
      <c r="N11" s="57"/>
      <c r="O11" s="58">
        <f t="shared" si="0"/>
        <v>39.368897849462364</v>
      </c>
      <c r="P11" s="58">
        <f t="shared" si="1"/>
        <v>36.551315440591409</v>
      </c>
      <c r="Q11" s="58">
        <f t="shared" si="2"/>
        <v>38.246200014816338</v>
      </c>
      <c r="R11" s="58">
        <f t="shared" si="3"/>
        <v>37.492783291881821</v>
      </c>
      <c r="S11" s="59">
        <f t="shared" si="4"/>
        <v>0.92843126013726007</v>
      </c>
      <c r="T11" s="59">
        <f t="shared" si="5"/>
        <v>0.97148261963189919</v>
      </c>
      <c r="U11" s="59">
        <f t="shared" si="6"/>
        <v>0.95234526085148807</v>
      </c>
      <c r="V11" s="60">
        <f t="shared" si="7"/>
        <v>11.903080236011963</v>
      </c>
      <c r="W11" s="60">
        <f t="shared" si="8"/>
        <v>36.547933593739387</v>
      </c>
      <c r="X11" s="60">
        <f t="shared" si="9"/>
        <v>6.8652629059345429</v>
      </c>
      <c r="Y11" s="61">
        <f t="shared" si="10"/>
        <v>0</v>
      </c>
    </row>
    <row r="12" spans="1:25" ht="15" customHeight="1" x14ac:dyDescent="0.2">
      <c r="A12" s="55">
        <v>2015</v>
      </c>
      <c r="B12" s="55">
        <v>11</v>
      </c>
      <c r="C12" s="63">
        <v>42309</v>
      </c>
      <c r="D12" s="56">
        <v>720</v>
      </c>
      <c r="E12" s="56">
        <v>18</v>
      </c>
      <c r="F12" s="56">
        <v>23314.81</v>
      </c>
      <c r="G12" s="56">
        <v>26581.534140604501</v>
      </c>
      <c r="H12" s="56">
        <v>715026.08963873901</v>
      </c>
      <c r="I12" s="56">
        <v>39586.553913271899</v>
      </c>
      <c r="J12" s="56">
        <v>1186897.6603314199</v>
      </c>
      <c r="K12" s="56">
        <v>2982.4489132973899</v>
      </c>
      <c r="L12" s="56">
        <v>103475.86555910599</v>
      </c>
      <c r="M12" s="57">
        <v>17.2</v>
      </c>
      <c r="N12" s="57"/>
      <c r="O12" s="58">
        <f t="shared" si="0"/>
        <v>32.381680555555555</v>
      </c>
      <c r="P12" s="58">
        <f t="shared" si="1"/>
        <v>26.899353733933069</v>
      </c>
      <c r="Q12" s="58">
        <f t="shared" si="2"/>
        <v>29.982343573823872</v>
      </c>
      <c r="R12" s="58">
        <f t="shared" si="3"/>
        <v>34.694933112769824</v>
      </c>
      <c r="S12" s="59">
        <f t="shared" si="4"/>
        <v>0.83069665540623361</v>
      </c>
      <c r="T12" s="59">
        <f t="shared" si="5"/>
        <v>0.9259044947461802</v>
      </c>
      <c r="U12" s="59">
        <f t="shared" si="6"/>
        <v>1.0714370754552267</v>
      </c>
      <c r="V12" s="60">
        <f t="shared" si="7"/>
        <v>36.918797417506248</v>
      </c>
      <c r="W12" s="60">
        <f t="shared" si="8"/>
        <v>54.981324879544303</v>
      </c>
      <c r="X12" s="60">
        <f t="shared" si="9"/>
        <v>4.1422901573574862</v>
      </c>
      <c r="Y12" s="61">
        <f t="shared" si="10"/>
        <v>2.5000000000000001E-2</v>
      </c>
    </row>
    <row r="13" spans="1:25" ht="15" customHeight="1" x14ac:dyDescent="0.2">
      <c r="A13" s="55">
        <v>2015</v>
      </c>
      <c r="B13" s="55">
        <v>12</v>
      </c>
      <c r="C13" s="63">
        <v>42339</v>
      </c>
      <c r="D13" s="56">
        <v>744</v>
      </c>
      <c r="E13" s="56">
        <v>11</v>
      </c>
      <c r="F13" s="56">
        <v>20672.46</v>
      </c>
      <c r="G13" s="56">
        <v>28857.208207758798</v>
      </c>
      <c r="H13" s="56">
        <v>686997.028116161</v>
      </c>
      <c r="I13" s="56">
        <v>45912.0987895711</v>
      </c>
      <c r="J13" s="56">
        <v>1187268.8725475201</v>
      </c>
      <c r="K13" s="56">
        <v>2233.0752750030001</v>
      </c>
      <c r="L13" s="56">
        <v>64992.464181356598</v>
      </c>
      <c r="M13" s="57">
        <v>15.697580645161301</v>
      </c>
      <c r="N13" s="57"/>
      <c r="O13" s="58">
        <f t="shared" si="0"/>
        <v>27.785564516129032</v>
      </c>
      <c r="P13" s="58">
        <f t="shared" si="1"/>
        <v>23.806773793573317</v>
      </c>
      <c r="Q13" s="58">
        <f t="shared" si="2"/>
        <v>25.859607899632927</v>
      </c>
      <c r="R13" s="58">
        <f t="shared" si="3"/>
        <v>29.104466342393803</v>
      </c>
      <c r="S13" s="59">
        <f t="shared" si="4"/>
        <v>0.85680367515131473</v>
      </c>
      <c r="T13" s="59">
        <f t="shared" si="5"/>
        <v>0.9306849923679571</v>
      </c>
      <c r="U13" s="59">
        <f t="shared" si="6"/>
        <v>1.0474671596288487</v>
      </c>
      <c r="V13" s="60">
        <f t="shared" si="7"/>
        <v>38.786570171718814</v>
      </c>
      <c r="W13" s="60">
        <f t="shared" si="8"/>
        <v>61.709810201036426</v>
      </c>
      <c r="X13" s="60">
        <f t="shared" si="9"/>
        <v>3.0014452621008068</v>
      </c>
      <c r="Y13" s="61">
        <f t="shared" si="10"/>
        <v>1.4784946236559141E-2</v>
      </c>
    </row>
    <row r="14" spans="1:25" ht="15" customHeight="1" x14ac:dyDescent="0.2">
      <c r="A14" s="55">
        <v>2016</v>
      </c>
      <c r="B14" s="55">
        <v>1</v>
      </c>
      <c r="C14" s="63">
        <v>42370</v>
      </c>
      <c r="D14" s="56">
        <v>744</v>
      </c>
      <c r="E14" s="56">
        <v>5</v>
      </c>
      <c r="F14" s="56">
        <v>21594.880000000001</v>
      </c>
      <c r="G14" s="56">
        <v>22554.280859065399</v>
      </c>
      <c r="H14" s="56">
        <v>547280.24971505394</v>
      </c>
      <c r="I14" s="56">
        <v>42194.200206524503</v>
      </c>
      <c r="J14" s="56">
        <v>1112642.8130403699</v>
      </c>
      <c r="K14" s="56">
        <v>1717.1022672937399</v>
      </c>
      <c r="L14" s="56">
        <v>55365.586702707697</v>
      </c>
      <c r="M14" s="57">
        <v>13.9588709677419</v>
      </c>
      <c r="N14" s="57"/>
      <c r="O14" s="58">
        <f t="shared" si="0"/>
        <v>29.025376344086023</v>
      </c>
      <c r="P14" s="58">
        <f t="shared" si="1"/>
        <v>24.265027696286836</v>
      </c>
      <c r="Q14" s="58">
        <f t="shared" si="2"/>
        <v>26.369567561285866</v>
      </c>
      <c r="R14" s="58">
        <f t="shared" si="3"/>
        <v>32.243616328087029</v>
      </c>
      <c r="S14" s="59">
        <f t="shared" si="4"/>
        <v>0.83599355986406987</v>
      </c>
      <c r="T14" s="59">
        <f t="shared" si="5"/>
        <v>0.90850045314429539</v>
      </c>
      <c r="U14" s="59">
        <f t="shared" si="6"/>
        <v>1.1108767702389062</v>
      </c>
      <c r="V14" s="60">
        <f t="shared" si="7"/>
        <v>30.314893627776073</v>
      </c>
      <c r="W14" s="60">
        <f t="shared" si="8"/>
        <v>56.712634686188849</v>
      </c>
      <c r="X14" s="60">
        <f t="shared" si="9"/>
        <v>2.3079331549647044</v>
      </c>
      <c r="Y14" s="61">
        <f t="shared" si="10"/>
        <v>6.7204301075268818E-3</v>
      </c>
    </row>
    <row r="15" spans="1:25" ht="15" customHeight="1" x14ac:dyDescent="0.2">
      <c r="A15" s="55">
        <v>2016</v>
      </c>
      <c r="B15" s="55">
        <v>2</v>
      </c>
      <c r="C15" s="63">
        <v>42401</v>
      </c>
      <c r="D15" s="56">
        <v>696</v>
      </c>
      <c r="E15" s="56">
        <v>14</v>
      </c>
      <c r="F15" s="56">
        <v>15310.9</v>
      </c>
      <c r="G15" s="56">
        <v>24773.7309037454</v>
      </c>
      <c r="H15" s="56">
        <v>457515.92448993103</v>
      </c>
      <c r="I15" s="56">
        <v>34159.019816698899</v>
      </c>
      <c r="J15" s="56">
        <v>668799.21851470496</v>
      </c>
      <c r="K15" s="56">
        <v>3278.1787625270699</v>
      </c>
      <c r="L15" s="56">
        <v>78871.100770823803</v>
      </c>
      <c r="M15" s="57">
        <v>12.4008620689655</v>
      </c>
      <c r="N15" s="57"/>
      <c r="O15" s="58">
        <f t="shared" si="0"/>
        <v>21.998419540229886</v>
      </c>
      <c r="P15" s="58">
        <f t="shared" si="1"/>
        <v>18.467784536271111</v>
      </c>
      <c r="Q15" s="58">
        <f t="shared" si="2"/>
        <v>19.578993252837932</v>
      </c>
      <c r="R15" s="58">
        <f t="shared" si="3"/>
        <v>24.059426432872119</v>
      </c>
      <c r="S15" s="59">
        <f t="shared" si="4"/>
        <v>0.83950506092030464</v>
      </c>
      <c r="T15" s="59">
        <f t="shared" si="5"/>
        <v>0.89001817685277806</v>
      </c>
      <c r="U15" s="59">
        <f t="shared" si="6"/>
        <v>1.0936888620054337</v>
      </c>
      <c r="V15" s="60">
        <f t="shared" si="7"/>
        <v>35.594440953657184</v>
      </c>
      <c r="W15" s="60">
        <f t="shared" si="8"/>
        <v>49.079051460774281</v>
      </c>
      <c r="X15" s="60">
        <f t="shared" si="9"/>
        <v>4.7100269576538363</v>
      </c>
      <c r="Y15" s="61">
        <f t="shared" si="10"/>
        <v>2.0114942528735632E-2</v>
      </c>
    </row>
    <row r="16" spans="1:25" ht="15" customHeight="1" x14ac:dyDescent="0.2">
      <c r="A16" s="55">
        <v>2016</v>
      </c>
      <c r="B16" s="55">
        <v>3</v>
      </c>
      <c r="C16" s="63">
        <v>42430</v>
      </c>
      <c r="D16" s="56">
        <v>744</v>
      </c>
      <c r="E16" s="56">
        <v>6</v>
      </c>
      <c r="F16" s="56">
        <v>18078.5</v>
      </c>
      <c r="G16" s="56">
        <v>14678.713955422299</v>
      </c>
      <c r="H16" s="56">
        <v>310899.648331262</v>
      </c>
      <c r="I16" s="56">
        <v>23855.946653967902</v>
      </c>
      <c r="J16" s="56">
        <v>516937.84478048899</v>
      </c>
      <c r="K16" s="56">
        <v>6219.85033744257</v>
      </c>
      <c r="L16" s="56">
        <v>143390.29263563</v>
      </c>
      <c r="M16" s="57">
        <v>12.250806451612901</v>
      </c>
      <c r="N16" s="57"/>
      <c r="O16" s="58">
        <f t="shared" si="0"/>
        <v>24.299059139784948</v>
      </c>
      <c r="P16" s="58">
        <f t="shared" si="1"/>
        <v>21.180305664067799</v>
      </c>
      <c r="Q16" s="58">
        <f t="shared" si="2"/>
        <v>21.669139870184441</v>
      </c>
      <c r="R16" s="58">
        <f t="shared" si="3"/>
        <v>23.053656415563868</v>
      </c>
      <c r="S16" s="59">
        <f t="shared" si="4"/>
        <v>0.87165126609322907</v>
      </c>
      <c r="T16" s="59">
        <f t="shared" si="5"/>
        <v>0.89176867900640111</v>
      </c>
      <c r="U16" s="59">
        <f t="shared" si="6"/>
        <v>0.94874687464001528</v>
      </c>
      <c r="V16" s="60">
        <f t="shared" si="7"/>
        <v>19.729454241159004</v>
      </c>
      <c r="W16" s="60">
        <f t="shared" si="8"/>
        <v>32.064444427376209</v>
      </c>
      <c r="X16" s="60">
        <f t="shared" si="9"/>
        <v>8.3600138944120559</v>
      </c>
      <c r="Y16" s="61">
        <f t="shared" si="10"/>
        <v>8.0645161290322578E-3</v>
      </c>
    </row>
    <row r="17" spans="1:25" ht="15" customHeight="1" x14ac:dyDescent="0.2">
      <c r="A17" s="55">
        <v>2016</v>
      </c>
      <c r="B17" s="55">
        <v>4</v>
      </c>
      <c r="C17" s="63">
        <v>42461</v>
      </c>
      <c r="D17" s="56">
        <v>720</v>
      </c>
      <c r="E17" s="56">
        <v>0</v>
      </c>
      <c r="F17" s="56">
        <v>17431.29</v>
      </c>
      <c r="G17" s="56">
        <v>14356.3477878495</v>
      </c>
      <c r="H17" s="56">
        <v>334129.69436340401</v>
      </c>
      <c r="I17" s="56">
        <v>24988.116136942801</v>
      </c>
      <c r="J17" s="56">
        <v>584775.83174316306</v>
      </c>
      <c r="K17" s="56">
        <v>9732.3410109713495</v>
      </c>
      <c r="L17" s="56">
        <v>228125.671277513</v>
      </c>
      <c r="M17" s="57">
        <v>12.1191666666667</v>
      </c>
      <c r="N17" s="57"/>
      <c r="O17" s="58">
        <f t="shared" si="0"/>
        <v>24.210125000000001</v>
      </c>
      <c r="P17" s="58">
        <f t="shared" si="1"/>
        <v>23.274003897160725</v>
      </c>
      <c r="Q17" s="58">
        <f t="shared" si="2"/>
        <v>23.40215759116878</v>
      </c>
      <c r="R17" s="58">
        <f t="shared" si="3"/>
        <v>23.439958692399394</v>
      </c>
      <c r="S17" s="59">
        <f t="shared" si="4"/>
        <v>0.96133348742151159</v>
      </c>
      <c r="T17" s="59">
        <f t="shared" si="5"/>
        <v>0.96662687991775254</v>
      </c>
      <c r="U17" s="59">
        <f t="shared" si="6"/>
        <v>0.96818825563269051</v>
      </c>
      <c r="V17" s="60">
        <f t="shared" si="7"/>
        <v>19.93937192756875</v>
      </c>
      <c r="W17" s="60">
        <f t="shared" si="8"/>
        <v>34.705716856865003</v>
      </c>
      <c r="X17" s="60">
        <f t="shared" si="9"/>
        <v>13.517140293015764</v>
      </c>
      <c r="Y17" s="61">
        <f t="shared" si="10"/>
        <v>0</v>
      </c>
    </row>
    <row r="18" spans="1:25" ht="15" customHeight="1" x14ac:dyDescent="0.2">
      <c r="A18" s="55">
        <v>2016</v>
      </c>
      <c r="B18" s="55">
        <v>5</v>
      </c>
      <c r="C18" s="63">
        <v>42491</v>
      </c>
      <c r="D18" s="56">
        <v>744</v>
      </c>
      <c r="E18" s="56">
        <v>21</v>
      </c>
      <c r="F18" s="56">
        <v>16777.84</v>
      </c>
      <c r="G18" s="56">
        <v>14776.708378117501</v>
      </c>
      <c r="H18" s="56">
        <v>274578.609123284</v>
      </c>
      <c r="I18" s="56">
        <v>25586.259556479199</v>
      </c>
      <c r="J18" s="56">
        <v>512789.37088728597</v>
      </c>
      <c r="K18" s="56">
        <v>12378.1016614988</v>
      </c>
      <c r="L18" s="56">
        <v>233661.67015393201</v>
      </c>
      <c r="M18" s="57">
        <v>13.074999999999999</v>
      </c>
      <c r="N18" s="57"/>
      <c r="O18" s="58">
        <f t="shared" si="0"/>
        <v>22.550860215053763</v>
      </c>
      <c r="P18" s="58">
        <f t="shared" si="1"/>
        <v>18.581852067264276</v>
      </c>
      <c r="Q18" s="58">
        <f t="shared" si="2"/>
        <v>20.04159184562921</v>
      </c>
      <c r="R18" s="58">
        <f t="shared" si="3"/>
        <v>18.877019800275185</v>
      </c>
      <c r="S18" s="59">
        <f t="shared" si="4"/>
        <v>0.82399748346894597</v>
      </c>
      <c r="T18" s="59">
        <f t="shared" si="5"/>
        <v>0.88872848549921402</v>
      </c>
      <c r="U18" s="59">
        <f t="shared" si="6"/>
        <v>0.83708646234585249</v>
      </c>
      <c r="V18" s="60">
        <f t="shared" si="7"/>
        <v>19.861167174889115</v>
      </c>
      <c r="W18" s="60">
        <f t="shared" si="8"/>
        <v>34.390133812472044</v>
      </c>
      <c r="X18" s="60">
        <f t="shared" si="9"/>
        <v>16.637233415993013</v>
      </c>
      <c r="Y18" s="61">
        <f t="shared" si="10"/>
        <v>2.8225806451612902E-2</v>
      </c>
    </row>
    <row r="19" spans="1:25" ht="15" customHeight="1" x14ac:dyDescent="0.2">
      <c r="A19" s="55">
        <v>2016</v>
      </c>
      <c r="B19" s="55">
        <v>6</v>
      </c>
      <c r="C19" s="63">
        <v>42522</v>
      </c>
      <c r="D19" s="56">
        <v>720</v>
      </c>
      <c r="E19" s="56">
        <v>0</v>
      </c>
      <c r="F19" s="56">
        <v>19947.34</v>
      </c>
      <c r="G19" s="56">
        <v>7644.5834730852403</v>
      </c>
      <c r="H19" s="56">
        <v>202904.15714356201</v>
      </c>
      <c r="I19" s="56">
        <v>13296.3418958114</v>
      </c>
      <c r="J19" s="56">
        <v>352807.85090372898</v>
      </c>
      <c r="K19" s="56">
        <v>12005.6044740221</v>
      </c>
      <c r="L19" s="56">
        <v>336929.28996472602</v>
      </c>
      <c r="M19" s="57">
        <v>14.4125</v>
      </c>
      <c r="N19" s="57"/>
      <c r="O19" s="58">
        <f t="shared" si="0"/>
        <v>27.704638888888891</v>
      </c>
      <c r="P19" s="58">
        <f t="shared" si="1"/>
        <v>26.542212254982797</v>
      </c>
      <c r="Q19" s="58">
        <f t="shared" si="2"/>
        <v>26.534204194528883</v>
      </c>
      <c r="R19" s="58">
        <f t="shared" si="3"/>
        <v>28.064333677973355</v>
      </c>
      <c r="S19" s="59">
        <f t="shared" si="4"/>
        <v>0.9580421662029931</v>
      </c>
      <c r="T19" s="59">
        <f t="shared" si="5"/>
        <v>0.95775311495471549</v>
      </c>
      <c r="U19" s="59">
        <f t="shared" si="6"/>
        <v>1.0129831971651766</v>
      </c>
      <c r="V19" s="60">
        <f t="shared" si="7"/>
        <v>10.617477045951723</v>
      </c>
      <c r="W19" s="60">
        <f t="shared" si="8"/>
        <v>18.467141521960279</v>
      </c>
      <c r="X19" s="60">
        <f t="shared" si="9"/>
        <v>16.67445065836403</v>
      </c>
      <c r="Y19" s="61">
        <f t="shared" si="10"/>
        <v>0</v>
      </c>
    </row>
    <row r="20" spans="1:25" ht="15" customHeight="1" x14ac:dyDescent="0.2">
      <c r="A20" s="55">
        <v>2016</v>
      </c>
      <c r="B20" s="55">
        <v>7</v>
      </c>
      <c r="C20" s="63">
        <v>42552</v>
      </c>
      <c r="D20" s="56">
        <v>744</v>
      </c>
      <c r="E20" s="56">
        <v>2</v>
      </c>
      <c r="F20" s="56">
        <v>20222.75</v>
      </c>
      <c r="G20" s="56">
        <v>11097.150089691901</v>
      </c>
      <c r="H20" s="56">
        <v>266387.62360050902</v>
      </c>
      <c r="I20" s="56">
        <v>19731.567498314798</v>
      </c>
      <c r="J20" s="56">
        <v>474505.389985797</v>
      </c>
      <c r="K20" s="56">
        <v>12690.414977316001</v>
      </c>
      <c r="L20" s="56">
        <v>338077.26736050099</v>
      </c>
      <c r="M20" s="57">
        <v>14.2137096774194</v>
      </c>
      <c r="N20" s="57"/>
      <c r="O20" s="58">
        <f t="shared" si="0"/>
        <v>27.181115591397848</v>
      </c>
      <c r="P20" s="58">
        <f t="shared" si="1"/>
        <v>24.005048273426116</v>
      </c>
      <c r="Q20" s="58">
        <f t="shared" si="2"/>
        <v>24.048033184708856</v>
      </c>
      <c r="R20" s="58">
        <f t="shared" si="3"/>
        <v>26.640363452638152</v>
      </c>
      <c r="S20" s="59">
        <f t="shared" si="4"/>
        <v>0.88315169378195502</v>
      </c>
      <c r="T20" s="59">
        <f t="shared" si="5"/>
        <v>0.88473311935436028</v>
      </c>
      <c r="U20" s="59">
        <f t="shared" si="6"/>
        <v>0.98010559438072398</v>
      </c>
      <c r="V20" s="60">
        <f t="shared" si="7"/>
        <v>14.915524314102017</v>
      </c>
      <c r="W20" s="60">
        <f t="shared" si="8"/>
        <v>26.52092405687473</v>
      </c>
      <c r="X20" s="60">
        <f t="shared" si="9"/>
        <v>17.057009378112905</v>
      </c>
      <c r="Y20" s="61">
        <f t="shared" si="10"/>
        <v>2.6881720430107529E-3</v>
      </c>
    </row>
    <row r="21" spans="1:25" ht="15" customHeight="1" x14ac:dyDescent="0.2">
      <c r="A21" s="55">
        <v>2016</v>
      </c>
      <c r="B21" s="55">
        <v>8</v>
      </c>
      <c r="C21" s="63">
        <v>42583</v>
      </c>
      <c r="D21" s="56">
        <v>744</v>
      </c>
      <c r="E21" s="56">
        <v>0</v>
      </c>
      <c r="F21" s="56">
        <v>20223.2</v>
      </c>
      <c r="G21" s="56">
        <v>11050.223142753801</v>
      </c>
      <c r="H21" s="56">
        <v>280631.86181780498</v>
      </c>
      <c r="I21" s="56">
        <v>22538.875924807398</v>
      </c>
      <c r="J21" s="56">
        <v>571786.51127548702</v>
      </c>
      <c r="K21" s="56">
        <v>12130.784486495701</v>
      </c>
      <c r="L21" s="56">
        <v>316932.806000799</v>
      </c>
      <c r="M21" s="57">
        <v>11.851612903225799</v>
      </c>
      <c r="N21" s="57"/>
      <c r="O21" s="58">
        <f t="shared" si="0"/>
        <v>27.181720430107529</v>
      </c>
      <c r="P21" s="58">
        <f t="shared" si="1"/>
        <v>25.396035735425823</v>
      </c>
      <c r="Q21" s="58">
        <f t="shared" si="2"/>
        <v>25.368900968399696</v>
      </c>
      <c r="R21" s="58">
        <f t="shared" si="3"/>
        <v>26.126324010917571</v>
      </c>
      <c r="S21" s="59">
        <f t="shared" si="4"/>
        <v>0.93430567799145592</v>
      </c>
      <c r="T21" s="59">
        <f t="shared" si="5"/>
        <v>0.93330740538042312</v>
      </c>
      <c r="U21" s="59">
        <f t="shared" si="6"/>
        <v>0.96117256735445789</v>
      </c>
      <c r="V21" s="60">
        <f t="shared" si="7"/>
        <v>14.852450460690592</v>
      </c>
      <c r="W21" s="60">
        <f t="shared" si="8"/>
        <v>30.294188070977686</v>
      </c>
      <c r="X21" s="60">
        <f t="shared" si="9"/>
        <v>16.304817858193147</v>
      </c>
      <c r="Y21" s="61">
        <f t="shared" si="10"/>
        <v>0</v>
      </c>
    </row>
    <row r="22" spans="1:25" ht="15" customHeight="1" x14ac:dyDescent="0.2">
      <c r="A22" s="55">
        <v>2016</v>
      </c>
      <c r="B22" s="55">
        <v>9</v>
      </c>
      <c r="C22" s="63">
        <v>42614</v>
      </c>
      <c r="D22" s="56">
        <v>720</v>
      </c>
      <c r="E22" s="56">
        <v>0</v>
      </c>
      <c r="F22" s="56">
        <v>21967.75</v>
      </c>
      <c r="G22" s="56">
        <v>9798.7084324932403</v>
      </c>
      <c r="H22" s="56">
        <v>270028.072673816</v>
      </c>
      <c r="I22" s="56">
        <v>17919.406216437401</v>
      </c>
      <c r="J22" s="56">
        <v>503709.33855784702</v>
      </c>
      <c r="K22" s="56">
        <v>9956.0219731823199</v>
      </c>
      <c r="L22" s="56">
        <v>296189.93607964402</v>
      </c>
      <c r="M22" s="57">
        <v>12.244999999999999</v>
      </c>
      <c r="N22" s="57"/>
      <c r="O22" s="58">
        <f t="shared" si="0"/>
        <v>30.510763888888889</v>
      </c>
      <c r="P22" s="58">
        <f t="shared" si="1"/>
        <v>27.557516843585528</v>
      </c>
      <c r="Q22" s="58">
        <f t="shared" si="2"/>
        <v>28.109711475584298</v>
      </c>
      <c r="R22" s="58">
        <f t="shared" si="3"/>
        <v>29.749827479033833</v>
      </c>
      <c r="S22" s="59">
        <f t="shared" si="4"/>
        <v>0.90320638788139795</v>
      </c>
      <c r="T22" s="59">
        <f t="shared" si="5"/>
        <v>0.92130474274428176</v>
      </c>
      <c r="U22" s="59">
        <f t="shared" si="6"/>
        <v>0.97506006691192137</v>
      </c>
      <c r="V22" s="60">
        <f t="shared" si="7"/>
        <v>13.609317267351722</v>
      </c>
      <c r="W22" s="60">
        <f t="shared" si="8"/>
        <v>24.88806418949639</v>
      </c>
      <c r="X22" s="60">
        <f t="shared" si="9"/>
        <v>13.827808296086555</v>
      </c>
      <c r="Y22" s="61">
        <f t="shared" si="10"/>
        <v>0</v>
      </c>
    </row>
    <row r="23" spans="1:25" ht="15" customHeight="1" x14ac:dyDescent="0.2">
      <c r="A23" s="55">
        <v>2016</v>
      </c>
      <c r="B23" s="55">
        <v>10</v>
      </c>
      <c r="C23" s="63">
        <v>42644</v>
      </c>
      <c r="D23" s="56">
        <v>744</v>
      </c>
      <c r="E23" s="56">
        <v>0</v>
      </c>
      <c r="F23" s="56">
        <v>27633.47</v>
      </c>
      <c r="G23" s="56">
        <v>11398.4559927837</v>
      </c>
      <c r="H23" s="56">
        <v>387105.79651749198</v>
      </c>
      <c r="I23" s="56">
        <v>30142.8465412357</v>
      </c>
      <c r="J23" s="56">
        <v>1077833.79324615</v>
      </c>
      <c r="K23" s="56">
        <v>4232.86276336014</v>
      </c>
      <c r="L23" s="56">
        <v>159639.95916817599</v>
      </c>
      <c r="M23" s="57">
        <v>15.9838709677419</v>
      </c>
      <c r="N23" s="57"/>
      <c r="O23" s="58">
        <f t="shared" si="0"/>
        <v>37.141760752688171</v>
      </c>
      <c r="P23" s="58">
        <f t="shared" si="1"/>
        <v>33.961248502653916</v>
      </c>
      <c r="Q23" s="58">
        <f t="shared" si="2"/>
        <v>35.757531783591283</v>
      </c>
      <c r="R23" s="58">
        <f t="shared" si="3"/>
        <v>37.714418844387545</v>
      </c>
      <c r="S23" s="59">
        <f t="shared" si="4"/>
        <v>0.91436829634405359</v>
      </c>
      <c r="T23" s="59">
        <f t="shared" si="5"/>
        <v>0.96273119687798581</v>
      </c>
      <c r="U23" s="59">
        <f t="shared" si="6"/>
        <v>1.0154181729701095</v>
      </c>
      <c r="V23" s="60">
        <f t="shared" si="7"/>
        <v>15.320505366644758</v>
      </c>
      <c r="W23" s="60">
        <f t="shared" si="8"/>
        <v>40.514578684456588</v>
      </c>
      <c r="X23" s="60">
        <f t="shared" si="9"/>
        <v>5.689331671182984</v>
      </c>
      <c r="Y23" s="61">
        <f t="shared" si="10"/>
        <v>0</v>
      </c>
    </row>
    <row r="24" spans="1:25" ht="15" customHeight="1" x14ac:dyDescent="0.2">
      <c r="A24" s="55">
        <v>2016</v>
      </c>
      <c r="B24" s="55">
        <v>11</v>
      </c>
      <c r="C24" s="63">
        <v>42675</v>
      </c>
      <c r="D24" s="56">
        <v>720</v>
      </c>
      <c r="E24" s="56">
        <v>14</v>
      </c>
      <c r="F24" s="56">
        <v>27513.71</v>
      </c>
      <c r="G24" s="56">
        <v>17378.509217073701</v>
      </c>
      <c r="H24" s="56">
        <v>579584.37689761596</v>
      </c>
      <c r="I24" s="56">
        <v>33515.028929426</v>
      </c>
      <c r="J24" s="56">
        <v>1157471.4918664701</v>
      </c>
      <c r="K24" s="56">
        <v>2596.2293341467198</v>
      </c>
      <c r="L24" s="56">
        <v>105064.044985185</v>
      </c>
      <c r="M24" s="57">
        <v>18.072500000000002</v>
      </c>
      <c r="N24" s="57"/>
      <c r="O24" s="58">
        <f t="shared" si="0"/>
        <v>38.213486111111109</v>
      </c>
      <c r="P24" s="58">
        <f t="shared" si="1"/>
        <v>33.350638403908498</v>
      </c>
      <c r="Q24" s="58">
        <f t="shared" si="2"/>
        <v>34.535894159715816</v>
      </c>
      <c r="R24" s="58">
        <f t="shared" si="3"/>
        <v>40.467936943527171</v>
      </c>
      <c r="S24" s="59">
        <f t="shared" si="4"/>
        <v>0.87274524776244711</v>
      </c>
      <c r="T24" s="59">
        <f t="shared" si="5"/>
        <v>0.90376193523139514</v>
      </c>
      <c r="U24" s="59">
        <f t="shared" si="6"/>
        <v>1.0589962095020833</v>
      </c>
      <c r="V24" s="60">
        <f t="shared" si="7"/>
        <v>24.136818357046806</v>
      </c>
      <c r="W24" s="60">
        <f t="shared" si="8"/>
        <v>46.548651290869444</v>
      </c>
      <c r="X24" s="60">
        <f t="shared" si="9"/>
        <v>3.6058740752037775</v>
      </c>
      <c r="Y24" s="61">
        <f t="shared" si="10"/>
        <v>1.9444444444444445E-2</v>
      </c>
    </row>
    <row r="25" spans="1:25" ht="15" customHeight="1" x14ac:dyDescent="0.2">
      <c r="A25" s="55">
        <v>2016</v>
      </c>
      <c r="B25" s="55">
        <v>12</v>
      </c>
      <c r="C25" s="63">
        <v>42705</v>
      </c>
      <c r="D25" s="56">
        <v>744</v>
      </c>
      <c r="E25" s="56">
        <v>35</v>
      </c>
      <c r="F25" s="56">
        <v>27877.72</v>
      </c>
      <c r="G25" s="56">
        <v>18362.709038975299</v>
      </c>
      <c r="H25" s="56">
        <v>441784.21259905701</v>
      </c>
      <c r="I25" s="56">
        <v>31720.2077191957</v>
      </c>
      <c r="J25" s="56">
        <v>985812.81412369094</v>
      </c>
      <c r="K25" s="56">
        <v>1961.9512178122</v>
      </c>
      <c r="L25" s="56">
        <v>85598.121670348002</v>
      </c>
      <c r="M25" s="57">
        <v>17.815322580645201</v>
      </c>
      <c r="N25" s="57"/>
      <c r="O25" s="58">
        <f t="shared" si="0"/>
        <v>37.470053763440859</v>
      </c>
      <c r="P25" s="58">
        <f t="shared" si="1"/>
        <v>24.058771048507015</v>
      </c>
      <c r="Q25" s="58">
        <f t="shared" si="2"/>
        <v>31.078384569566346</v>
      </c>
      <c r="R25" s="58">
        <f t="shared" si="3"/>
        <v>43.629077467991124</v>
      </c>
      <c r="S25" s="59">
        <f t="shared" si="4"/>
        <v>0.64207997139253925</v>
      </c>
      <c r="T25" s="59">
        <f t="shared" si="5"/>
        <v>0.82941926813804578</v>
      </c>
      <c r="U25" s="59">
        <f t="shared" si="6"/>
        <v>1.1643718939778933</v>
      </c>
      <c r="V25" s="60">
        <f t="shared" si="7"/>
        <v>24.681060536257124</v>
      </c>
      <c r="W25" s="60">
        <f t="shared" si="8"/>
        <v>42.634687794617875</v>
      </c>
      <c r="X25" s="60">
        <f t="shared" si="9"/>
        <v>2.637031206736828</v>
      </c>
      <c r="Y25" s="61">
        <f t="shared" si="10"/>
        <v>4.7043010752688172E-2</v>
      </c>
    </row>
    <row r="26" spans="1:25" ht="15" customHeight="1" x14ac:dyDescent="0.2">
      <c r="A26" s="55">
        <v>2017</v>
      </c>
      <c r="B26" s="55">
        <v>1</v>
      </c>
      <c r="C26" s="63">
        <v>42736</v>
      </c>
      <c r="D26" s="56">
        <v>744</v>
      </c>
      <c r="E26" s="56">
        <v>3</v>
      </c>
      <c r="F26" s="56">
        <v>38989.43</v>
      </c>
      <c r="G26" s="56">
        <v>15970.6154691062</v>
      </c>
      <c r="H26" s="56">
        <v>656130.27745720395</v>
      </c>
      <c r="I26" s="56">
        <v>31607.102604904299</v>
      </c>
      <c r="J26" s="56">
        <v>1419453.7612243099</v>
      </c>
      <c r="K26" s="56">
        <v>2030.86754013723</v>
      </c>
      <c r="L26" s="56">
        <v>115727.726258328</v>
      </c>
      <c r="M26" s="57">
        <v>20.139516129032302</v>
      </c>
      <c r="N26" s="57"/>
      <c r="O26" s="58">
        <f t="shared" si="0"/>
        <v>52.405147849462367</v>
      </c>
      <c r="P26" s="58">
        <f t="shared" si="1"/>
        <v>41.083593724138701</v>
      </c>
      <c r="Q26" s="58">
        <f t="shared" si="2"/>
        <v>44.909328734360521</v>
      </c>
      <c r="R26" s="58">
        <f t="shared" si="3"/>
        <v>56.984379321217588</v>
      </c>
      <c r="S26" s="59">
        <f t="shared" si="4"/>
        <v>0.78396103073984902</v>
      </c>
      <c r="T26" s="59">
        <f t="shared" si="5"/>
        <v>0.85696406893776667</v>
      </c>
      <c r="U26" s="59">
        <f t="shared" si="6"/>
        <v>1.0873813291188377</v>
      </c>
      <c r="V26" s="60">
        <f t="shared" si="7"/>
        <v>21.465881006863171</v>
      </c>
      <c r="W26" s="60">
        <f t="shared" si="8"/>
        <v>42.482664791538035</v>
      </c>
      <c r="X26" s="60">
        <f t="shared" si="9"/>
        <v>2.7296606722274595</v>
      </c>
      <c r="Y26" s="61">
        <f t="shared" si="10"/>
        <v>4.0322580645161289E-3</v>
      </c>
    </row>
    <row r="27" spans="1:25" ht="15" customHeight="1" x14ac:dyDescent="0.2">
      <c r="A27" s="55">
        <v>2017</v>
      </c>
      <c r="B27" s="55">
        <v>2</v>
      </c>
      <c r="C27" s="63">
        <v>42767</v>
      </c>
      <c r="D27" s="56">
        <v>672</v>
      </c>
      <c r="E27" s="56">
        <v>5</v>
      </c>
      <c r="F27" s="56">
        <v>26665.62</v>
      </c>
      <c r="G27" s="56">
        <v>19352.593727380499</v>
      </c>
      <c r="H27" s="56">
        <v>636989.45395521296</v>
      </c>
      <c r="I27" s="56">
        <v>48788.692988126197</v>
      </c>
      <c r="J27" s="56">
        <v>1839225.78405582</v>
      </c>
      <c r="K27" s="56">
        <v>3777.1684596841401</v>
      </c>
      <c r="L27" s="56">
        <v>156957.08593186899</v>
      </c>
      <c r="M27" s="57">
        <v>19.637499999999999</v>
      </c>
      <c r="N27" s="57">
        <v>5.5778571428571402</v>
      </c>
      <c r="O27" s="58">
        <f t="shared" si="0"/>
        <v>39.68098214285714</v>
      </c>
      <c r="P27" s="58">
        <f t="shared" si="1"/>
        <v>32.914939616284379</v>
      </c>
      <c r="Q27" s="58">
        <f t="shared" si="2"/>
        <v>37.697787569415645</v>
      </c>
      <c r="R27" s="58">
        <f t="shared" si="3"/>
        <v>41.554166198082221</v>
      </c>
      <c r="S27" s="59">
        <f t="shared" si="4"/>
        <v>0.82948903577502053</v>
      </c>
      <c r="T27" s="59">
        <f t="shared" si="5"/>
        <v>0.9500215350945268</v>
      </c>
      <c r="U27" s="59">
        <f t="shared" si="6"/>
        <v>1.047206091030745</v>
      </c>
      <c r="V27" s="60">
        <f t="shared" si="7"/>
        <v>28.798502570506695</v>
      </c>
      <c r="W27" s="60">
        <f t="shared" si="8"/>
        <v>72.602221708521128</v>
      </c>
      <c r="X27" s="60">
        <f t="shared" si="9"/>
        <v>5.6207863983394946</v>
      </c>
      <c r="Y27" s="61">
        <f t="shared" si="10"/>
        <v>7.4404761904761901E-3</v>
      </c>
    </row>
    <row r="28" spans="1:25" ht="15" customHeight="1" x14ac:dyDescent="0.2">
      <c r="A28" s="55">
        <v>2017</v>
      </c>
      <c r="B28" s="55">
        <v>3</v>
      </c>
      <c r="C28" s="63">
        <v>42795</v>
      </c>
      <c r="D28" s="56">
        <v>744</v>
      </c>
      <c r="E28" s="56">
        <v>0</v>
      </c>
      <c r="F28" s="56">
        <v>23578.23</v>
      </c>
      <c r="G28" s="56">
        <v>18892.443163583699</v>
      </c>
      <c r="H28" s="56">
        <v>543607.14811996894</v>
      </c>
      <c r="I28" s="56">
        <v>38102.867326351203</v>
      </c>
      <c r="J28" s="56">
        <v>1160872.7890733699</v>
      </c>
      <c r="K28" s="56">
        <v>8217.3531973414301</v>
      </c>
      <c r="L28" s="56">
        <v>252812.12634824999</v>
      </c>
      <c r="M28" s="57">
        <v>15.883870967741901</v>
      </c>
      <c r="N28" s="57">
        <v>5.5567741935483896</v>
      </c>
      <c r="O28" s="58">
        <f t="shared" si="0"/>
        <v>31.69116935483871</v>
      </c>
      <c r="P28" s="58">
        <f t="shared" si="1"/>
        <v>28.773787668066344</v>
      </c>
      <c r="Q28" s="58">
        <f t="shared" si="2"/>
        <v>30.466809207047074</v>
      </c>
      <c r="R28" s="58">
        <f t="shared" si="3"/>
        <v>30.765639528558001</v>
      </c>
      <c r="S28" s="59">
        <f t="shared" si="4"/>
        <v>0.90794338782178985</v>
      </c>
      <c r="T28" s="59">
        <f t="shared" si="5"/>
        <v>0.96136588921403443</v>
      </c>
      <c r="U28" s="59">
        <f t="shared" si="6"/>
        <v>0.97079533999147316</v>
      </c>
      <c r="V28" s="60">
        <f t="shared" si="7"/>
        <v>25.39306876825766</v>
      </c>
      <c r="W28" s="60">
        <f t="shared" si="8"/>
        <v>51.213531352622581</v>
      </c>
      <c r="X28" s="60">
        <f t="shared" si="9"/>
        <v>11.044829566319127</v>
      </c>
      <c r="Y28" s="61">
        <f t="shared" si="10"/>
        <v>0</v>
      </c>
    </row>
    <row r="29" spans="1:25" ht="15" customHeight="1" x14ac:dyDescent="0.2">
      <c r="A29" s="55">
        <v>2017</v>
      </c>
      <c r="B29" s="55">
        <v>4</v>
      </c>
      <c r="C29" s="63">
        <v>42826</v>
      </c>
      <c r="D29" s="56">
        <v>720</v>
      </c>
      <c r="E29" s="56">
        <v>18</v>
      </c>
      <c r="F29" s="56">
        <v>20679.25</v>
      </c>
      <c r="G29" s="56">
        <v>16292.2577800544</v>
      </c>
      <c r="H29" s="56">
        <v>389079.72701197199</v>
      </c>
      <c r="I29" s="56">
        <v>33141.510766876199</v>
      </c>
      <c r="J29" s="56">
        <v>819587.13985560101</v>
      </c>
      <c r="K29" s="56">
        <v>9810.2966042486496</v>
      </c>
      <c r="L29" s="56">
        <v>247600.04932021801</v>
      </c>
      <c r="M29" s="57">
        <v>16.122499999999999</v>
      </c>
      <c r="N29" s="57">
        <v>5.2216666666666702</v>
      </c>
      <c r="O29" s="58">
        <f t="shared" si="0"/>
        <v>28.721180555555556</v>
      </c>
      <c r="P29" s="58">
        <f t="shared" si="1"/>
        <v>23.881265093184208</v>
      </c>
      <c r="Q29" s="58">
        <f t="shared" si="2"/>
        <v>24.729926937270168</v>
      </c>
      <c r="R29" s="58">
        <f t="shared" si="3"/>
        <v>25.238793413543402</v>
      </c>
      <c r="S29" s="59">
        <f t="shared" si="4"/>
        <v>0.83148619350762865</v>
      </c>
      <c r="T29" s="59">
        <f t="shared" si="5"/>
        <v>0.86103448601059129</v>
      </c>
      <c r="U29" s="59">
        <f t="shared" si="6"/>
        <v>0.87875194979272697</v>
      </c>
      <c r="V29" s="60">
        <f t="shared" si="7"/>
        <v>22.628135805631111</v>
      </c>
      <c r="W29" s="60">
        <f t="shared" si="8"/>
        <v>46.029876065105832</v>
      </c>
      <c r="X29" s="60">
        <f t="shared" si="9"/>
        <v>13.625411950345347</v>
      </c>
      <c r="Y29" s="61">
        <f t="shared" si="10"/>
        <v>2.5000000000000001E-2</v>
      </c>
    </row>
    <row r="30" spans="1:25" ht="15" customHeight="1" x14ac:dyDescent="0.2">
      <c r="A30" s="55">
        <v>2017</v>
      </c>
      <c r="B30" s="55">
        <v>5</v>
      </c>
      <c r="C30" s="63">
        <v>42856</v>
      </c>
      <c r="D30" s="56">
        <v>744</v>
      </c>
      <c r="E30" s="56">
        <v>15</v>
      </c>
      <c r="F30" s="56">
        <v>22773.919999999998</v>
      </c>
      <c r="G30" s="56">
        <v>10753.3337368426</v>
      </c>
      <c r="H30" s="56">
        <v>290223.789806897</v>
      </c>
      <c r="I30" s="56">
        <v>28518.688921880599</v>
      </c>
      <c r="J30" s="56">
        <v>811870.50582971098</v>
      </c>
      <c r="K30" s="56">
        <v>13024.030760530601</v>
      </c>
      <c r="L30" s="56">
        <v>388605.77125456498</v>
      </c>
      <c r="M30" s="57">
        <v>15.6685483870968</v>
      </c>
      <c r="N30" s="57">
        <v>5.1741935483871</v>
      </c>
      <c r="O30" s="58">
        <f t="shared" si="0"/>
        <v>30.61010752688172</v>
      </c>
      <c r="P30" s="58">
        <f t="shared" si="1"/>
        <v>26.98919208770997</v>
      </c>
      <c r="Q30" s="58">
        <f t="shared" si="2"/>
        <v>28.468016466451715</v>
      </c>
      <c r="R30" s="58">
        <f t="shared" si="3"/>
        <v>29.837596240346496</v>
      </c>
      <c r="S30" s="59">
        <f t="shared" si="4"/>
        <v>0.88170850311480053</v>
      </c>
      <c r="T30" s="59">
        <f t="shared" si="5"/>
        <v>0.93002013931023186</v>
      </c>
      <c r="U30" s="59">
        <f t="shared" si="6"/>
        <v>0.97476286923014543</v>
      </c>
      <c r="V30" s="60">
        <f t="shared" si="7"/>
        <v>14.453405560272312</v>
      </c>
      <c r="W30" s="60">
        <f t="shared" si="8"/>
        <v>38.331571131559947</v>
      </c>
      <c r="X30" s="60">
        <f t="shared" si="9"/>
        <v>17.505417688885217</v>
      </c>
      <c r="Y30" s="61">
        <f t="shared" si="10"/>
        <v>2.0161290322580645E-2</v>
      </c>
    </row>
    <row r="31" spans="1:25" ht="15" customHeight="1" x14ac:dyDescent="0.2">
      <c r="A31" s="55">
        <v>2017</v>
      </c>
      <c r="B31" s="55">
        <v>6</v>
      </c>
      <c r="C31" s="63">
        <v>42887</v>
      </c>
      <c r="D31" s="56">
        <v>720</v>
      </c>
      <c r="E31" s="56">
        <v>0</v>
      </c>
      <c r="F31" s="56">
        <v>21603.01</v>
      </c>
      <c r="G31" s="56">
        <v>14230.483139215299</v>
      </c>
      <c r="H31" s="56">
        <v>364996.283120982</v>
      </c>
      <c r="I31" s="56">
        <v>27006.375981861001</v>
      </c>
      <c r="J31" s="56">
        <v>703081.50717441295</v>
      </c>
      <c r="K31" s="56">
        <v>13651.151106942099</v>
      </c>
      <c r="L31" s="56">
        <v>401642.48232334497</v>
      </c>
      <c r="M31" s="57">
        <v>15.085000000000001</v>
      </c>
      <c r="N31" s="57">
        <v>5.4456666666666704</v>
      </c>
      <c r="O31" s="58">
        <f t="shared" si="0"/>
        <v>30.004180555555553</v>
      </c>
      <c r="P31" s="58">
        <f t="shared" si="1"/>
        <v>25.648903101199185</v>
      </c>
      <c r="Q31" s="58">
        <f t="shared" si="2"/>
        <v>26.033907979606074</v>
      </c>
      <c r="R31" s="58">
        <f t="shared" si="3"/>
        <v>29.421876527254568</v>
      </c>
      <c r="S31" s="59">
        <f t="shared" si="4"/>
        <v>0.85484431256863813</v>
      </c>
      <c r="T31" s="59">
        <f t="shared" si="5"/>
        <v>0.86767602039328662</v>
      </c>
      <c r="U31" s="59">
        <f t="shared" si="6"/>
        <v>0.9805925701845849</v>
      </c>
      <c r="V31" s="60">
        <f t="shared" si="7"/>
        <v>19.764559915576804</v>
      </c>
      <c r="W31" s="60">
        <f t="shared" si="8"/>
        <v>37.508855530362503</v>
      </c>
      <c r="X31" s="60">
        <f t="shared" si="9"/>
        <v>18.959932092975137</v>
      </c>
      <c r="Y31" s="61">
        <f t="shared" si="10"/>
        <v>0</v>
      </c>
    </row>
    <row r="32" spans="1:25" ht="15" customHeight="1" x14ac:dyDescent="0.2">
      <c r="A32" s="55">
        <v>2017</v>
      </c>
      <c r="B32" s="55">
        <v>7</v>
      </c>
      <c r="C32" s="63">
        <v>42917</v>
      </c>
      <c r="D32" s="56">
        <v>744</v>
      </c>
      <c r="E32" s="56">
        <v>7</v>
      </c>
      <c r="F32" s="56">
        <v>24556.15</v>
      </c>
      <c r="G32" s="56">
        <v>11038.0170791855</v>
      </c>
      <c r="H32" s="56">
        <v>325511.73771393701</v>
      </c>
      <c r="I32" s="56">
        <v>20182.918541361301</v>
      </c>
      <c r="J32" s="56">
        <v>606015.80565624603</v>
      </c>
      <c r="K32" s="56">
        <v>12428.8974670238</v>
      </c>
      <c r="L32" s="56">
        <v>401395.30140227702</v>
      </c>
      <c r="M32" s="57">
        <v>15.0887096774194</v>
      </c>
      <c r="N32" s="57">
        <v>5.77935483870968</v>
      </c>
      <c r="O32" s="58">
        <f t="shared" si="0"/>
        <v>33.005577956989249</v>
      </c>
      <c r="P32" s="58">
        <f t="shared" si="1"/>
        <v>29.490055630350291</v>
      </c>
      <c r="Q32" s="58">
        <f t="shared" si="2"/>
        <v>30.026173093565454</v>
      </c>
      <c r="R32" s="58">
        <f t="shared" si="3"/>
        <v>32.295326473426478</v>
      </c>
      <c r="S32" s="59">
        <f t="shared" si="4"/>
        <v>0.89348702418663406</v>
      </c>
      <c r="T32" s="59">
        <f t="shared" si="5"/>
        <v>0.90973026234213006</v>
      </c>
      <c r="U32" s="59">
        <f t="shared" si="6"/>
        <v>0.97848086512866628</v>
      </c>
      <c r="V32" s="60">
        <f t="shared" si="7"/>
        <v>14.836044461270832</v>
      </c>
      <c r="W32" s="60">
        <f t="shared" si="8"/>
        <v>27.127578684625405</v>
      </c>
      <c r="X32" s="60">
        <f t="shared" si="9"/>
        <v>16.70550734815027</v>
      </c>
      <c r="Y32" s="61">
        <f t="shared" si="10"/>
        <v>9.4086021505376347E-3</v>
      </c>
    </row>
    <row r="33" spans="1:25" ht="15" customHeight="1" x14ac:dyDescent="0.2">
      <c r="A33" s="55">
        <v>2017</v>
      </c>
      <c r="B33" s="55">
        <v>8</v>
      </c>
      <c r="C33" s="63">
        <v>42948</v>
      </c>
      <c r="D33" s="56">
        <v>744</v>
      </c>
      <c r="E33" s="56">
        <v>8</v>
      </c>
      <c r="F33" s="56">
        <v>22956.78</v>
      </c>
      <c r="G33" s="56">
        <v>10586.2660334718</v>
      </c>
      <c r="H33" s="56">
        <v>288470.91393242602</v>
      </c>
      <c r="I33" s="56">
        <v>24358.614187625601</v>
      </c>
      <c r="J33" s="56">
        <v>659812.09764587099</v>
      </c>
      <c r="K33" s="56">
        <v>11707.6549853368</v>
      </c>
      <c r="L33" s="56">
        <v>353650.26397653401</v>
      </c>
      <c r="M33" s="57">
        <v>16.033064516128999</v>
      </c>
      <c r="N33" s="57">
        <v>6.3251612903225798</v>
      </c>
      <c r="O33" s="58">
        <f t="shared" si="0"/>
        <v>30.855887096774193</v>
      </c>
      <c r="P33" s="58">
        <f t="shared" si="1"/>
        <v>27.249543230855409</v>
      </c>
      <c r="Q33" s="58">
        <f t="shared" si="2"/>
        <v>27.087423470135736</v>
      </c>
      <c r="R33" s="58">
        <f t="shared" si="3"/>
        <v>30.206754847103173</v>
      </c>
      <c r="S33" s="59">
        <f t="shared" si="4"/>
        <v>0.88312298866637329</v>
      </c>
      <c r="T33" s="59">
        <f t="shared" si="5"/>
        <v>0.87786889371161758</v>
      </c>
      <c r="U33" s="59">
        <f t="shared" si="6"/>
        <v>0.97896245058082021</v>
      </c>
      <c r="V33" s="60">
        <f t="shared" si="7"/>
        <v>14.228852195526613</v>
      </c>
      <c r="W33" s="60">
        <f t="shared" si="8"/>
        <v>32.740072832830108</v>
      </c>
      <c r="X33" s="60">
        <f t="shared" si="9"/>
        <v>15.736095410398924</v>
      </c>
      <c r="Y33" s="61">
        <f t="shared" si="10"/>
        <v>1.0752688172043012E-2</v>
      </c>
    </row>
    <row r="34" spans="1:25" ht="15" customHeight="1" x14ac:dyDescent="0.2">
      <c r="A34" s="55">
        <v>2017</v>
      </c>
      <c r="B34" s="55">
        <v>9</v>
      </c>
      <c r="C34" s="63">
        <v>42979</v>
      </c>
      <c r="D34" s="56">
        <v>720</v>
      </c>
      <c r="E34" s="56">
        <v>8</v>
      </c>
      <c r="F34" s="56">
        <v>24694.63</v>
      </c>
      <c r="G34" s="56">
        <v>12772.4319527711</v>
      </c>
      <c r="H34" s="56">
        <v>354882.71462429501</v>
      </c>
      <c r="I34" s="56">
        <v>21860.409522482099</v>
      </c>
      <c r="J34" s="56">
        <v>665564.96790906601</v>
      </c>
      <c r="K34" s="56">
        <v>7832.47776822784</v>
      </c>
      <c r="L34" s="56">
        <v>278481.80835172202</v>
      </c>
      <c r="M34" s="57">
        <v>17.149166666666702</v>
      </c>
      <c r="N34" s="57">
        <v>7.3680000000000003</v>
      </c>
      <c r="O34" s="58">
        <f t="shared" ref="O34:O65" si="11">IFERROR(F34/D34,"")</f>
        <v>34.298097222222225</v>
      </c>
      <c r="P34" s="58">
        <f t="shared" ref="P34:P65" si="12">IFERROR(H34/G34,"")</f>
        <v>27.785054243119287</v>
      </c>
      <c r="Q34" s="58">
        <f t="shared" ref="Q34:Q65" si="13">IFERROR(J34/I34,"")</f>
        <v>30.446134470837475</v>
      </c>
      <c r="R34" s="58">
        <f t="shared" ref="R34:R65" si="14">IFERROR(L34/K34,"")</f>
        <v>35.554752479652521</v>
      </c>
      <c r="S34" s="59">
        <f t="shared" ref="S34:S65" si="15">IFERROR(P34/O34,"")</f>
        <v>0.81010483068771977</v>
      </c>
      <c r="T34" s="59">
        <f t="shared" ref="T34:T65" si="16">IFERROR(Q34/O34,"")</f>
        <v>0.88769164871079176</v>
      </c>
      <c r="U34" s="59">
        <f t="shared" ref="U34:U65" si="17">IFERROR(R34/O34,"")</f>
        <v>1.0366392120614811</v>
      </c>
      <c r="V34" s="60">
        <f t="shared" ref="V34:V65" si="18">IFERROR(G34/D34,"")</f>
        <v>17.739488823293193</v>
      </c>
      <c r="W34" s="60">
        <f t="shared" ref="W34:W65" si="19">IFERROR(I34/D34,"")</f>
        <v>30.361679892336248</v>
      </c>
      <c r="X34" s="60">
        <f t="shared" ref="X34:X65" si="20">IFERROR(K34/D34,"")</f>
        <v>10.878441344760889</v>
      </c>
      <c r="Y34" s="61">
        <f t="shared" ref="Y34:Y65" si="21">IFERROR(E34/D34,"")</f>
        <v>1.1111111111111112E-2</v>
      </c>
    </row>
    <row r="35" spans="1:25" ht="15" customHeight="1" x14ac:dyDescent="0.2">
      <c r="A35" s="55">
        <v>2017</v>
      </c>
      <c r="B35" s="55">
        <v>10</v>
      </c>
      <c r="C35" s="63">
        <v>43009</v>
      </c>
      <c r="D35" s="56">
        <v>744</v>
      </c>
      <c r="E35" s="56">
        <v>39</v>
      </c>
      <c r="F35" s="56">
        <v>21046.76</v>
      </c>
      <c r="G35" s="56">
        <v>24844.759263386401</v>
      </c>
      <c r="H35" s="56">
        <v>489085.92056600598</v>
      </c>
      <c r="I35" s="56">
        <v>47913.424213277598</v>
      </c>
      <c r="J35" s="56">
        <v>1248675.70415782</v>
      </c>
      <c r="K35" s="56">
        <v>5418.67493055055</v>
      </c>
      <c r="L35" s="56">
        <v>158001.26657614001</v>
      </c>
      <c r="M35" s="57">
        <v>17.1112903225807</v>
      </c>
      <c r="N35" s="57">
        <v>7.8261290322580699</v>
      </c>
      <c r="O35" s="58">
        <f t="shared" si="11"/>
        <v>28.288655913978491</v>
      </c>
      <c r="P35" s="58">
        <f t="shared" si="12"/>
        <v>19.685677586209078</v>
      </c>
      <c r="Q35" s="58">
        <f t="shared" si="13"/>
        <v>26.061082560068655</v>
      </c>
      <c r="R35" s="58">
        <f t="shared" si="14"/>
        <v>29.158653840872997</v>
      </c>
      <c r="S35" s="59">
        <f t="shared" si="15"/>
        <v>0.69588592848208253</v>
      </c>
      <c r="T35" s="59">
        <f t="shared" si="16"/>
        <v>0.92125559585851136</v>
      </c>
      <c r="U35" s="59">
        <f t="shared" si="17"/>
        <v>1.0307543041118687</v>
      </c>
      <c r="V35" s="60">
        <f t="shared" si="18"/>
        <v>33.393493633583873</v>
      </c>
      <c r="W35" s="60">
        <f t="shared" si="19"/>
        <v>64.399763727523649</v>
      </c>
      <c r="X35" s="60">
        <f t="shared" si="20"/>
        <v>7.2831652292346103</v>
      </c>
      <c r="Y35" s="61">
        <f t="shared" si="21"/>
        <v>5.2419354838709679E-2</v>
      </c>
    </row>
    <row r="36" spans="1:25" ht="15" customHeight="1" x14ac:dyDescent="0.2">
      <c r="A36" s="55">
        <v>2017</v>
      </c>
      <c r="B36" s="55">
        <v>11</v>
      </c>
      <c r="C36" s="63">
        <v>43040</v>
      </c>
      <c r="D36" s="56">
        <v>720</v>
      </c>
      <c r="E36" s="56">
        <v>1</v>
      </c>
      <c r="F36" s="56">
        <v>29072.880000000001</v>
      </c>
      <c r="G36" s="56">
        <v>19207.169030796998</v>
      </c>
      <c r="H36" s="56">
        <v>598074.83749852004</v>
      </c>
      <c r="I36" s="56">
        <v>34785.686032185302</v>
      </c>
      <c r="J36" s="56">
        <v>1151704.62594286</v>
      </c>
      <c r="K36" s="56">
        <v>2064.6021831176599</v>
      </c>
      <c r="L36" s="56">
        <v>88715.072144999998</v>
      </c>
      <c r="M36" s="57">
        <v>19.563333333333301</v>
      </c>
      <c r="N36" s="57">
        <v>8.1413333333333302</v>
      </c>
      <c r="O36" s="58">
        <f t="shared" si="11"/>
        <v>40.379000000000005</v>
      </c>
      <c r="P36" s="58">
        <f t="shared" si="12"/>
        <v>31.138104555625031</v>
      </c>
      <c r="Q36" s="58">
        <f t="shared" si="13"/>
        <v>33.108578766486033</v>
      </c>
      <c r="R36" s="58">
        <f t="shared" si="14"/>
        <v>42.969571993300661</v>
      </c>
      <c r="S36" s="59">
        <f t="shared" si="15"/>
        <v>0.771146005488621</v>
      </c>
      <c r="T36" s="59">
        <f t="shared" si="16"/>
        <v>0.81994548568528269</v>
      </c>
      <c r="U36" s="59">
        <f t="shared" si="17"/>
        <v>1.0641564177741067</v>
      </c>
      <c r="V36" s="60">
        <f t="shared" si="18"/>
        <v>26.676623653884722</v>
      </c>
      <c r="W36" s="60">
        <f t="shared" si="19"/>
        <v>48.313452822479583</v>
      </c>
      <c r="X36" s="60">
        <f t="shared" si="20"/>
        <v>2.8675030321078609</v>
      </c>
      <c r="Y36" s="61">
        <f t="shared" si="21"/>
        <v>1.3888888888888889E-3</v>
      </c>
    </row>
    <row r="37" spans="1:25" ht="15" customHeight="1" x14ac:dyDescent="0.2">
      <c r="A37" s="55">
        <v>2017</v>
      </c>
      <c r="B37" s="55">
        <v>12</v>
      </c>
      <c r="C37" s="63">
        <v>43070</v>
      </c>
      <c r="D37" s="56">
        <v>744</v>
      </c>
      <c r="E37" s="56">
        <v>43</v>
      </c>
      <c r="F37" s="56">
        <v>22848.61</v>
      </c>
      <c r="G37" s="56">
        <v>27907.910890274099</v>
      </c>
      <c r="H37" s="56">
        <v>619636.26309479598</v>
      </c>
      <c r="I37" s="56">
        <v>42284.5926157016</v>
      </c>
      <c r="J37" s="56">
        <v>1075863.7610013899</v>
      </c>
      <c r="K37" s="56">
        <v>1217.3100650538099</v>
      </c>
      <c r="L37" s="56">
        <v>40105.663887191302</v>
      </c>
      <c r="M37" s="57">
        <v>20.8725806451613</v>
      </c>
      <c r="N37" s="57">
        <v>8.17</v>
      </c>
      <c r="O37" s="58">
        <f t="shared" si="11"/>
        <v>30.710497311827957</v>
      </c>
      <c r="P37" s="58">
        <f t="shared" si="12"/>
        <v>22.202889550960229</v>
      </c>
      <c r="Q37" s="58">
        <f t="shared" si="13"/>
        <v>25.443398988829038</v>
      </c>
      <c r="R37" s="58">
        <f t="shared" si="14"/>
        <v>32.946136763782093</v>
      </c>
      <c r="S37" s="59">
        <f t="shared" si="15"/>
        <v>0.72297395009650089</v>
      </c>
      <c r="T37" s="59">
        <f t="shared" si="16"/>
        <v>0.82849192347756839</v>
      </c>
      <c r="U37" s="59">
        <f t="shared" si="17"/>
        <v>1.0727972402808694</v>
      </c>
      <c r="V37" s="60">
        <f t="shared" si="18"/>
        <v>37.510632917035082</v>
      </c>
      <c r="W37" s="60">
        <f t="shared" si="19"/>
        <v>56.834129859813977</v>
      </c>
      <c r="X37" s="60">
        <f t="shared" si="20"/>
        <v>1.6361694422766262</v>
      </c>
      <c r="Y37" s="61">
        <f t="shared" si="21"/>
        <v>5.779569892473118E-2</v>
      </c>
    </row>
    <row r="38" spans="1:25" ht="15" customHeight="1" x14ac:dyDescent="0.2">
      <c r="A38" s="55">
        <v>2018</v>
      </c>
      <c r="B38" s="55">
        <v>1</v>
      </c>
      <c r="C38" s="63">
        <v>43101</v>
      </c>
      <c r="D38" s="56">
        <v>744</v>
      </c>
      <c r="E38" s="56">
        <v>43</v>
      </c>
      <c r="F38" s="56">
        <v>21948.639999999999</v>
      </c>
      <c r="G38" s="56">
        <v>27605.041298461099</v>
      </c>
      <c r="H38" s="56">
        <v>617272.80210892402</v>
      </c>
      <c r="I38" s="56">
        <v>37004.924133757202</v>
      </c>
      <c r="J38" s="56">
        <v>950173.83700252697</v>
      </c>
      <c r="K38" s="56">
        <v>1794.0722637200599</v>
      </c>
      <c r="L38" s="56">
        <v>61732.2424178847</v>
      </c>
      <c r="M38" s="57">
        <v>18.724193548387099</v>
      </c>
      <c r="N38" s="57">
        <v>8.9483870967741908</v>
      </c>
      <c r="O38" s="58">
        <f t="shared" si="11"/>
        <v>29.500860215053763</v>
      </c>
      <c r="P38" s="58">
        <f t="shared" si="12"/>
        <v>22.360872256450318</v>
      </c>
      <c r="Q38" s="58">
        <f t="shared" si="13"/>
        <v>25.676956763052644</v>
      </c>
      <c r="R38" s="58">
        <f t="shared" si="14"/>
        <v>34.409005515687056</v>
      </c>
      <c r="S38" s="59">
        <f t="shared" si="15"/>
        <v>0.75797356732804566</v>
      </c>
      <c r="T38" s="59">
        <f t="shared" si="16"/>
        <v>0.87037993386884871</v>
      </c>
      <c r="U38" s="59">
        <f t="shared" si="17"/>
        <v>1.1663729553936448</v>
      </c>
      <c r="V38" s="60">
        <f t="shared" si="18"/>
        <v>37.103550132340189</v>
      </c>
      <c r="W38" s="60">
        <f t="shared" si="19"/>
        <v>49.737801255050002</v>
      </c>
      <c r="X38" s="60">
        <f t="shared" si="20"/>
        <v>2.4113874512366396</v>
      </c>
      <c r="Y38" s="61">
        <f t="shared" si="21"/>
        <v>5.779569892473118E-2</v>
      </c>
    </row>
    <row r="39" spans="1:25" ht="15" customHeight="1" x14ac:dyDescent="0.2">
      <c r="A39" s="55">
        <v>2018</v>
      </c>
      <c r="B39" s="55">
        <v>2</v>
      </c>
      <c r="C39" s="63">
        <v>43132</v>
      </c>
      <c r="D39" s="56">
        <v>672</v>
      </c>
      <c r="E39" s="56">
        <v>5</v>
      </c>
      <c r="F39" s="56">
        <v>26962.5</v>
      </c>
      <c r="G39" s="56">
        <v>14099.7989504778</v>
      </c>
      <c r="H39" s="56">
        <v>504999.90062325401</v>
      </c>
      <c r="I39" s="56">
        <v>30257.676201294398</v>
      </c>
      <c r="J39" s="56">
        <v>1114038.20538605</v>
      </c>
      <c r="K39" s="56">
        <v>4497.8069525095098</v>
      </c>
      <c r="L39" s="56">
        <v>181714.90751645601</v>
      </c>
      <c r="M39" s="57">
        <v>21.777678571428599</v>
      </c>
      <c r="N39" s="57">
        <v>10.2217857142857</v>
      </c>
      <c r="O39" s="58">
        <f t="shared" si="11"/>
        <v>40.122767857142854</v>
      </c>
      <c r="P39" s="58">
        <f t="shared" si="12"/>
        <v>35.816106484705664</v>
      </c>
      <c r="Q39" s="58">
        <f t="shared" si="13"/>
        <v>36.818366287441215</v>
      </c>
      <c r="R39" s="58">
        <f t="shared" si="14"/>
        <v>40.40077963218716</v>
      </c>
      <c r="S39" s="59">
        <f t="shared" si="15"/>
        <v>0.89266290431978512</v>
      </c>
      <c r="T39" s="59">
        <f t="shared" si="16"/>
        <v>0.91764273139213715</v>
      </c>
      <c r="U39" s="59">
        <f t="shared" si="17"/>
        <v>1.0069290278286425</v>
      </c>
      <c r="V39" s="60">
        <f t="shared" si="18"/>
        <v>20.981843676306248</v>
      </c>
      <c r="W39" s="60">
        <f t="shared" si="19"/>
        <v>45.026303870973805</v>
      </c>
      <c r="X39" s="60">
        <f t="shared" si="20"/>
        <v>6.6931651079010566</v>
      </c>
      <c r="Y39" s="61">
        <f t="shared" si="21"/>
        <v>7.4404761904761901E-3</v>
      </c>
    </row>
    <row r="40" spans="1:25" ht="15" customHeight="1" x14ac:dyDescent="0.2">
      <c r="A40" s="55">
        <v>2018</v>
      </c>
      <c r="B40" s="55">
        <v>3</v>
      </c>
      <c r="C40" s="63">
        <v>43160</v>
      </c>
      <c r="D40" s="56">
        <v>744</v>
      </c>
      <c r="E40" s="56">
        <v>21</v>
      </c>
      <c r="F40" s="56">
        <v>27795.38</v>
      </c>
      <c r="G40" s="56">
        <v>19867.284425361398</v>
      </c>
      <c r="H40" s="56">
        <v>599006.87220657198</v>
      </c>
      <c r="I40" s="56">
        <v>31758.395229112601</v>
      </c>
      <c r="J40" s="56">
        <v>1078221.28870942</v>
      </c>
      <c r="K40" s="56">
        <v>6643.9046774257004</v>
      </c>
      <c r="L40" s="56">
        <v>245901.56613043501</v>
      </c>
      <c r="M40" s="57">
        <v>23.940322580645201</v>
      </c>
      <c r="N40" s="57">
        <v>12.4322580645161</v>
      </c>
      <c r="O40" s="58">
        <f t="shared" si="11"/>
        <v>37.359381720430108</v>
      </c>
      <c r="P40" s="58">
        <f t="shared" si="12"/>
        <v>30.150415093565343</v>
      </c>
      <c r="Q40" s="58">
        <f t="shared" si="13"/>
        <v>33.950748484955731</v>
      </c>
      <c r="R40" s="58">
        <f t="shared" si="14"/>
        <v>37.011603577930011</v>
      </c>
      <c r="S40" s="59">
        <f t="shared" si="15"/>
        <v>0.80703731446062676</v>
      </c>
      <c r="T40" s="59">
        <f t="shared" si="16"/>
        <v>0.90876098376086478</v>
      </c>
      <c r="U40" s="59">
        <f t="shared" si="17"/>
        <v>0.99069100915259756</v>
      </c>
      <c r="V40" s="60">
        <f t="shared" si="18"/>
        <v>26.703339281399728</v>
      </c>
      <c r="W40" s="60">
        <f t="shared" si="19"/>
        <v>42.686015092893278</v>
      </c>
      <c r="X40" s="60">
        <f t="shared" si="20"/>
        <v>8.9299794051420704</v>
      </c>
      <c r="Y40" s="61">
        <f t="shared" si="21"/>
        <v>2.8225806451612902E-2</v>
      </c>
    </row>
    <row r="41" spans="1:25" ht="15" customHeight="1" x14ac:dyDescent="0.2">
      <c r="A41" s="55">
        <v>2018</v>
      </c>
      <c r="B41" s="55">
        <v>4</v>
      </c>
      <c r="C41" s="63">
        <v>43191</v>
      </c>
      <c r="D41" s="56">
        <v>720</v>
      </c>
      <c r="E41" s="56">
        <v>5</v>
      </c>
      <c r="F41" s="56">
        <v>23011.74</v>
      </c>
      <c r="G41" s="56">
        <v>16132.498582685501</v>
      </c>
      <c r="H41" s="56">
        <v>469337.26520372002</v>
      </c>
      <c r="I41" s="56">
        <v>31304.517409415999</v>
      </c>
      <c r="J41" s="56">
        <v>971829.67828931904</v>
      </c>
      <c r="K41" s="56">
        <v>11881.123825483601</v>
      </c>
      <c r="L41" s="56">
        <v>350992.42608900799</v>
      </c>
      <c r="M41" s="57">
        <v>19.739999999999998</v>
      </c>
      <c r="N41" s="57">
        <v>14.597666666666701</v>
      </c>
      <c r="O41" s="58">
        <f t="shared" si="11"/>
        <v>31.960750000000001</v>
      </c>
      <c r="P41" s="58">
        <f t="shared" si="12"/>
        <v>29.092658077617614</v>
      </c>
      <c r="Q41" s="58">
        <f t="shared" si="13"/>
        <v>31.044390992496343</v>
      </c>
      <c r="R41" s="58">
        <f t="shared" si="14"/>
        <v>29.542022391532598</v>
      </c>
      <c r="S41" s="59">
        <f t="shared" si="15"/>
        <v>0.91026205823134976</v>
      </c>
      <c r="T41" s="59">
        <f t="shared" si="16"/>
        <v>0.9713286137683359</v>
      </c>
      <c r="U41" s="59">
        <f t="shared" si="17"/>
        <v>0.92432193836291687</v>
      </c>
      <c r="V41" s="60">
        <f t="shared" si="18"/>
        <v>22.406248031507641</v>
      </c>
      <c r="W41" s="60">
        <f t="shared" si="19"/>
        <v>43.478496401966666</v>
      </c>
      <c r="X41" s="60">
        <f t="shared" si="20"/>
        <v>16.501560868727225</v>
      </c>
      <c r="Y41" s="61">
        <f t="shared" si="21"/>
        <v>6.9444444444444441E-3</v>
      </c>
    </row>
    <row r="42" spans="1:25" ht="15" customHeight="1" x14ac:dyDescent="0.2">
      <c r="A42" s="55">
        <v>2018</v>
      </c>
      <c r="B42" s="55">
        <v>5</v>
      </c>
      <c r="C42" s="63">
        <v>43221</v>
      </c>
      <c r="D42" s="56">
        <v>744</v>
      </c>
      <c r="E42" s="56">
        <v>29</v>
      </c>
      <c r="F42" s="56">
        <v>25041.96</v>
      </c>
      <c r="G42" s="56">
        <v>12894.2227403172</v>
      </c>
      <c r="H42" s="56">
        <v>365133.383893374</v>
      </c>
      <c r="I42" s="56">
        <v>25558.5406350704</v>
      </c>
      <c r="J42" s="56">
        <v>817936.05876169098</v>
      </c>
      <c r="K42" s="56">
        <v>14574.5172934031</v>
      </c>
      <c r="L42" s="56">
        <v>464530.57314804802</v>
      </c>
      <c r="M42" s="57">
        <v>21.6225806451613</v>
      </c>
      <c r="N42" s="57">
        <v>16.216129032258099</v>
      </c>
      <c r="O42" s="58">
        <f t="shared" si="11"/>
        <v>33.658548387096772</v>
      </c>
      <c r="P42" s="58">
        <f t="shared" si="12"/>
        <v>28.317595503580673</v>
      </c>
      <c r="Q42" s="58">
        <f t="shared" si="13"/>
        <v>32.002455478203323</v>
      </c>
      <c r="R42" s="58">
        <f t="shared" si="14"/>
        <v>31.872793026106578</v>
      </c>
      <c r="S42" s="59">
        <f t="shared" si="15"/>
        <v>0.84131957141789304</v>
      </c>
      <c r="T42" s="59">
        <f t="shared" si="16"/>
        <v>0.95079725691532424</v>
      </c>
      <c r="U42" s="59">
        <f t="shared" si="17"/>
        <v>0.94694496802260264</v>
      </c>
      <c r="V42" s="60">
        <f t="shared" si="18"/>
        <v>17.330944543437099</v>
      </c>
      <c r="W42" s="60">
        <f t="shared" si="19"/>
        <v>34.352877197675269</v>
      </c>
      <c r="X42" s="60">
        <f t="shared" si="20"/>
        <v>19.589404964251479</v>
      </c>
      <c r="Y42" s="61">
        <f t="shared" si="21"/>
        <v>3.8978494623655914E-2</v>
      </c>
    </row>
    <row r="43" spans="1:25" ht="15" customHeight="1" x14ac:dyDescent="0.2">
      <c r="A43" s="55">
        <v>2018</v>
      </c>
      <c r="B43" s="55">
        <v>6</v>
      </c>
      <c r="C43" s="63">
        <v>43252</v>
      </c>
      <c r="D43" s="56">
        <v>720</v>
      </c>
      <c r="E43" s="56">
        <v>0</v>
      </c>
      <c r="F43" s="56">
        <v>30523.22</v>
      </c>
      <c r="G43" s="56">
        <v>10192.7273086845</v>
      </c>
      <c r="H43" s="56">
        <v>382634.40949073399</v>
      </c>
      <c r="I43" s="56">
        <v>22111.1667845634</v>
      </c>
      <c r="J43" s="56">
        <v>852056.44202428695</v>
      </c>
      <c r="K43" s="56">
        <v>13113.160849779801</v>
      </c>
      <c r="L43" s="56">
        <v>557532.40890126198</v>
      </c>
      <c r="M43" s="57">
        <v>21.837499999999999</v>
      </c>
      <c r="N43" s="57">
        <v>16.930666666666699</v>
      </c>
      <c r="O43" s="58">
        <f t="shared" si="11"/>
        <v>42.393361111111112</v>
      </c>
      <c r="P43" s="58">
        <f t="shared" si="12"/>
        <v>37.53994371699892</v>
      </c>
      <c r="Q43" s="58">
        <f t="shared" si="13"/>
        <v>38.535118943571</v>
      </c>
      <c r="R43" s="58">
        <f t="shared" si="14"/>
        <v>42.517011366532898</v>
      </c>
      <c r="S43" s="59">
        <f t="shared" si="15"/>
        <v>0.88551468279687473</v>
      </c>
      <c r="T43" s="59">
        <f t="shared" si="16"/>
        <v>0.9089894722565679</v>
      </c>
      <c r="U43" s="59">
        <f t="shared" si="17"/>
        <v>1.0029167363044817</v>
      </c>
      <c r="V43" s="60">
        <f t="shared" si="18"/>
        <v>14.15656570650625</v>
      </c>
      <c r="W43" s="60">
        <f t="shared" si="19"/>
        <v>30.709953867449165</v>
      </c>
      <c r="X43" s="60">
        <f t="shared" si="20"/>
        <v>18.212723402471944</v>
      </c>
      <c r="Y43" s="61">
        <f t="shared" si="21"/>
        <v>0</v>
      </c>
    </row>
    <row r="44" spans="1:25" ht="15" customHeight="1" x14ac:dyDescent="0.2">
      <c r="A44" s="55">
        <v>2018</v>
      </c>
      <c r="B44" s="55">
        <v>7</v>
      </c>
      <c r="C44" s="63">
        <v>43282</v>
      </c>
      <c r="D44" s="56">
        <v>744</v>
      </c>
      <c r="E44" s="56">
        <v>0</v>
      </c>
      <c r="F44" s="56">
        <v>36894.74</v>
      </c>
      <c r="G44" s="56">
        <v>8040.7686679001299</v>
      </c>
      <c r="H44" s="56">
        <v>378471.994178024</v>
      </c>
      <c r="I44" s="56">
        <v>14794.3684665566</v>
      </c>
      <c r="J44" s="56">
        <v>705400.51029631402</v>
      </c>
      <c r="K44" s="56">
        <v>15152.97892259</v>
      </c>
      <c r="L44" s="56">
        <v>742382.58724101703</v>
      </c>
      <c r="M44" s="57">
        <v>22.219354838709702</v>
      </c>
      <c r="N44" s="57">
        <v>18.411612903225802</v>
      </c>
      <c r="O44" s="58">
        <f t="shared" si="11"/>
        <v>49.589704301075265</v>
      </c>
      <c r="P44" s="58">
        <f t="shared" si="12"/>
        <v>47.069131050733617</v>
      </c>
      <c r="Q44" s="58">
        <f t="shared" si="13"/>
        <v>47.680339440707236</v>
      </c>
      <c r="R44" s="58">
        <f t="shared" si="14"/>
        <v>48.992517645113068</v>
      </c>
      <c r="S44" s="59">
        <f t="shared" si="15"/>
        <v>0.94917144020382893</v>
      </c>
      <c r="T44" s="59">
        <f t="shared" si="16"/>
        <v>0.96149674842230048</v>
      </c>
      <c r="U44" s="59">
        <f t="shared" si="17"/>
        <v>0.98795744672449581</v>
      </c>
      <c r="V44" s="60">
        <f t="shared" si="18"/>
        <v>10.80748476868297</v>
      </c>
      <c r="W44" s="60">
        <f t="shared" si="19"/>
        <v>19.884903852898656</v>
      </c>
      <c r="X44" s="60">
        <f t="shared" si="20"/>
        <v>20.366907154018818</v>
      </c>
      <c r="Y44" s="61">
        <f t="shared" si="21"/>
        <v>0</v>
      </c>
    </row>
    <row r="45" spans="1:25" ht="15" customHeight="1" x14ac:dyDescent="0.2">
      <c r="A45" s="55">
        <v>2018</v>
      </c>
      <c r="B45" s="55">
        <v>8</v>
      </c>
      <c r="C45" s="63">
        <v>43313</v>
      </c>
      <c r="D45" s="56">
        <v>744</v>
      </c>
      <c r="E45" s="56">
        <v>0</v>
      </c>
      <c r="F45" s="56">
        <v>41824.36</v>
      </c>
      <c r="G45" s="56">
        <v>11090.0219958425</v>
      </c>
      <c r="H45" s="56">
        <v>582597.76338977704</v>
      </c>
      <c r="I45" s="56">
        <v>19410.196411467699</v>
      </c>
      <c r="J45" s="56">
        <v>1021435.5816991</v>
      </c>
      <c r="K45" s="56">
        <v>12736.5354468077</v>
      </c>
      <c r="L45" s="56">
        <v>712679.82471325097</v>
      </c>
      <c r="M45" s="57">
        <v>23.908064516128999</v>
      </c>
      <c r="N45" s="57">
        <v>21.42</v>
      </c>
      <c r="O45" s="58">
        <f t="shared" si="11"/>
        <v>56.215537634408605</v>
      </c>
      <c r="P45" s="58">
        <f t="shared" si="12"/>
        <v>52.533508374301249</v>
      </c>
      <c r="Q45" s="58">
        <f t="shared" si="13"/>
        <v>52.623660268353987</v>
      </c>
      <c r="R45" s="58">
        <f t="shared" si="14"/>
        <v>55.955548327067063</v>
      </c>
      <c r="S45" s="59">
        <f t="shared" si="15"/>
        <v>0.93450157349640561</v>
      </c>
      <c r="T45" s="59">
        <f t="shared" si="16"/>
        <v>0.93610525635431996</v>
      </c>
      <c r="U45" s="59">
        <f t="shared" si="17"/>
        <v>0.99537513437953129</v>
      </c>
      <c r="V45" s="60">
        <f t="shared" si="18"/>
        <v>14.90594354279906</v>
      </c>
      <c r="W45" s="60">
        <f t="shared" si="19"/>
        <v>26.088973671327555</v>
      </c>
      <c r="X45" s="60">
        <f t="shared" si="20"/>
        <v>17.118999256461962</v>
      </c>
      <c r="Y45" s="61">
        <f t="shared" si="21"/>
        <v>0</v>
      </c>
    </row>
    <row r="46" spans="1:25" ht="15" customHeight="1" x14ac:dyDescent="0.2">
      <c r="A46" s="55">
        <v>2018</v>
      </c>
      <c r="B46" s="55">
        <v>9</v>
      </c>
      <c r="C46" s="63">
        <v>43344</v>
      </c>
      <c r="D46" s="56">
        <v>720</v>
      </c>
      <c r="E46" s="56">
        <v>3</v>
      </c>
      <c r="F46" s="56">
        <v>39481.199999999997</v>
      </c>
      <c r="G46" s="56">
        <v>13611.861823919</v>
      </c>
      <c r="H46" s="56">
        <v>657746.44113969698</v>
      </c>
      <c r="I46" s="56">
        <v>30834.835347963501</v>
      </c>
      <c r="J46" s="56">
        <v>1580535.1814137499</v>
      </c>
      <c r="K46" s="56">
        <v>9998.9114837238594</v>
      </c>
      <c r="L46" s="56">
        <v>521059.23821674997</v>
      </c>
      <c r="M46" s="57">
        <v>27.686666666666699</v>
      </c>
      <c r="N46" s="57">
        <v>24.770666666666699</v>
      </c>
      <c r="O46" s="58">
        <f t="shared" si="11"/>
        <v>54.834999999999994</v>
      </c>
      <c r="P46" s="58">
        <f t="shared" si="12"/>
        <v>48.321563181305109</v>
      </c>
      <c r="Q46" s="58">
        <f t="shared" si="13"/>
        <v>51.258103491645109</v>
      </c>
      <c r="R46" s="58">
        <f t="shared" si="14"/>
        <v>52.111596253744786</v>
      </c>
      <c r="S46" s="59">
        <f t="shared" si="15"/>
        <v>0.88121752860955804</v>
      </c>
      <c r="T46" s="59">
        <f t="shared" si="16"/>
        <v>0.93476982751244853</v>
      </c>
      <c r="U46" s="59">
        <f t="shared" si="17"/>
        <v>0.95033457196580273</v>
      </c>
      <c r="V46" s="60">
        <f t="shared" si="18"/>
        <v>18.905363644331945</v>
      </c>
      <c r="W46" s="60">
        <f t="shared" si="19"/>
        <v>42.826160205504863</v>
      </c>
      <c r="X46" s="60">
        <f t="shared" si="20"/>
        <v>13.887377060727582</v>
      </c>
      <c r="Y46" s="61">
        <f t="shared" si="21"/>
        <v>4.1666666666666666E-3</v>
      </c>
    </row>
    <row r="47" spans="1:25" ht="15" customHeight="1" x14ac:dyDescent="0.2">
      <c r="A47" s="55">
        <v>2018</v>
      </c>
      <c r="B47" s="55">
        <v>10</v>
      </c>
      <c r="C47" s="63">
        <v>43374</v>
      </c>
      <c r="D47" s="56">
        <v>744</v>
      </c>
      <c r="E47" s="56">
        <v>6</v>
      </c>
      <c r="F47" s="56">
        <v>39493.1</v>
      </c>
      <c r="G47" s="56">
        <v>19195.8657264781</v>
      </c>
      <c r="H47" s="56">
        <v>840814.13691588002</v>
      </c>
      <c r="I47" s="56">
        <v>33838.490391099098</v>
      </c>
      <c r="J47" s="56">
        <v>1670704.79989885</v>
      </c>
      <c r="K47" s="56">
        <v>6753.6758924359201</v>
      </c>
      <c r="L47" s="56">
        <v>359841.680965217</v>
      </c>
      <c r="M47" s="57">
        <v>25.568548387096801</v>
      </c>
      <c r="N47" s="57">
        <v>23.9716129032258</v>
      </c>
      <c r="O47" s="58">
        <f t="shared" si="11"/>
        <v>53.082123655913975</v>
      </c>
      <c r="P47" s="58">
        <f t="shared" si="12"/>
        <v>43.801834670894301</v>
      </c>
      <c r="Q47" s="58">
        <f t="shared" si="13"/>
        <v>49.372911751947228</v>
      </c>
      <c r="R47" s="58">
        <f t="shared" si="14"/>
        <v>53.280863147169633</v>
      </c>
      <c r="S47" s="59">
        <f t="shared" si="15"/>
        <v>0.82517110571581775</v>
      </c>
      <c r="T47" s="59">
        <f t="shared" si="16"/>
        <v>0.93012314413020858</v>
      </c>
      <c r="U47" s="59">
        <f t="shared" si="17"/>
        <v>1.0037440003821987</v>
      </c>
      <c r="V47" s="60">
        <f t="shared" si="18"/>
        <v>25.800894793653359</v>
      </c>
      <c r="W47" s="60">
        <f t="shared" si="19"/>
        <v>45.481841923520292</v>
      </c>
      <c r="X47" s="60">
        <f t="shared" si="20"/>
        <v>9.0775213608009686</v>
      </c>
      <c r="Y47" s="61">
        <f t="shared" si="21"/>
        <v>8.0645161290322578E-3</v>
      </c>
    </row>
    <row r="48" spans="1:25" ht="15" customHeight="1" x14ac:dyDescent="0.2">
      <c r="A48" s="55">
        <v>2018</v>
      </c>
      <c r="B48" s="55">
        <v>11</v>
      </c>
      <c r="C48" s="63">
        <v>43405</v>
      </c>
      <c r="D48" s="56">
        <v>720</v>
      </c>
      <c r="E48" s="56">
        <v>0</v>
      </c>
      <c r="F48" s="56">
        <v>40810.199999999997</v>
      </c>
      <c r="G48" s="56">
        <v>16756.3519882377</v>
      </c>
      <c r="H48" s="56">
        <v>874103.22458641999</v>
      </c>
      <c r="I48" s="56">
        <v>33263.633886649099</v>
      </c>
      <c r="J48" s="56">
        <v>1807094.4717510701</v>
      </c>
      <c r="K48" s="56">
        <v>2853.45646991073</v>
      </c>
      <c r="L48" s="56">
        <v>170317.99509104801</v>
      </c>
      <c r="M48" s="57">
        <v>24.628333333333298</v>
      </c>
      <c r="N48" s="57">
        <v>22.2776666666667</v>
      </c>
      <c r="O48" s="58">
        <f t="shared" si="11"/>
        <v>56.680833333333332</v>
      </c>
      <c r="P48" s="58">
        <f t="shared" si="12"/>
        <v>52.165484778548816</v>
      </c>
      <c r="Q48" s="58">
        <f t="shared" si="13"/>
        <v>54.326429815486179</v>
      </c>
      <c r="R48" s="58">
        <f t="shared" si="14"/>
        <v>59.688310260564933</v>
      </c>
      <c r="S48" s="59">
        <f t="shared" si="15"/>
        <v>0.92033729412144871</v>
      </c>
      <c r="T48" s="59">
        <f t="shared" si="16"/>
        <v>0.95846208710445058</v>
      </c>
      <c r="U48" s="59">
        <f t="shared" si="17"/>
        <v>1.0530598572809433</v>
      </c>
      <c r="V48" s="60">
        <f t="shared" si="18"/>
        <v>23.272711094774586</v>
      </c>
      <c r="W48" s="60">
        <f t="shared" si="19"/>
        <v>46.199491509234861</v>
      </c>
      <c r="X48" s="60">
        <f t="shared" si="20"/>
        <v>3.9631339859871249</v>
      </c>
      <c r="Y48" s="61">
        <f t="shared" si="21"/>
        <v>0</v>
      </c>
    </row>
    <row r="49" spans="1:25" ht="15" customHeight="1" x14ac:dyDescent="0.2">
      <c r="A49" s="55">
        <v>2018</v>
      </c>
      <c r="B49" s="55">
        <v>12</v>
      </c>
      <c r="C49" s="63">
        <v>43435</v>
      </c>
      <c r="D49" s="56">
        <v>744</v>
      </c>
      <c r="E49" s="56">
        <v>21</v>
      </c>
      <c r="F49" s="56">
        <v>35794.29</v>
      </c>
      <c r="G49" s="56">
        <v>23897.529564759901</v>
      </c>
      <c r="H49" s="56">
        <v>952234.62431853695</v>
      </c>
      <c r="I49" s="56">
        <v>40545.315890099002</v>
      </c>
      <c r="J49" s="56">
        <v>1811458.6674762601</v>
      </c>
      <c r="K49" s="56">
        <v>1239.7220185840199</v>
      </c>
      <c r="L49" s="56">
        <v>69620.313726094799</v>
      </c>
      <c r="M49" s="57">
        <v>23.766935483870999</v>
      </c>
      <c r="N49" s="57">
        <v>25.871612903225799</v>
      </c>
      <c r="O49" s="58">
        <f t="shared" si="11"/>
        <v>48.110604838709676</v>
      </c>
      <c r="P49" s="58">
        <f t="shared" si="12"/>
        <v>39.846571660810248</v>
      </c>
      <c r="Q49" s="58">
        <f t="shared" si="13"/>
        <v>44.67738449458254</v>
      </c>
      <c r="R49" s="58">
        <f t="shared" si="14"/>
        <v>56.158003715714763</v>
      </c>
      <c r="S49" s="59">
        <f t="shared" si="15"/>
        <v>0.8282284497232052</v>
      </c>
      <c r="T49" s="59">
        <f t="shared" si="16"/>
        <v>0.92863901096988966</v>
      </c>
      <c r="U49" s="59">
        <f t="shared" si="17"/>
        <v>1.1672687114199438</v>
      </c>
      <c r="V49" s="60">
        <f t="shared" si="18"/>
        <v>32.120335436505243</v>
      </c>
      <c r="W49" s="60">
        <f t="shared" si="19"/>
        <v>54.496392325401885</v>
      </c>
      <c r="X49" s="60">
        <f t="shared" si="20"/>
        <v>1.6662930357312096</v>
      </c>
      <c r="Y49" s="61">
        <f t="shared" si="21"/>
        <v>2.8225806451612902E-2</v>
      </c>
    </row>
    <row r="50" spans="1:25" ht="15" customHeight="1" x14ac:dyDescent="0.2">
      <c r="A50" s="55">
        <v>2019</v>
      </c>
      <c r="B50" s="55">
        <v>1</v>
      </c>
      <c r="C50" s="63">
        <v>43466</v>
      </c>
      <c r="D50" s="56">
        <v>744</v>
      </c>
      <c r="E50" s="56">
        <v>34</v>
      </c>
      <c r="F50" s="56">
        <v>36763.9</v>
      </c>
      <c r="G50" s="56">
        <v>24816.8754767957</v>
      </c>
      <c r="H50" s="56">
        <v>971319.18453673099</v>
      </c>
      <c r="I50" s="56">
        <v>37169.821976165898</v>
      </c>
      <c r="J50" s="56">
        <v>1696604.1773656199</v>
      </c>
      <c r="K50" s="56">
        <v>1760.4036832531599</v>
      </c>
      <c r="L50" s="56">
        <v>104111.674714052</v>
      </c>
      <c r="M50" s="57">
        <v>21.574999999999999</v>
      </c>
      <c r="N50" s="57">
        <v>26.159032258064499</v>
      </c>
      <c r="O50" s="58">
        <f t="shared" si="11"/>
        <v>49.413844086021506</v>
      </c>
      <c r="P50" s="58">
        <f t="shared" si="12"/>
        <v>39.139463202969885</v>
      </c>
      <c r="Q50" s="58">
        <f t="shared" si="13"/>
        <v>45.644667829012462</v>
      </c>
      <c r="R50" s="58">
        <f t="shared" si="14"/>
        <v>59.140795775692503</v>
      </c>
      <c r="S50" s="59">
        <f t="shared" si="15"/>
        <v>0.79207485122659982</v>
      </c>
      <c r="T50" s="59">
        <f t="shared" si="16"/>
        <v>0.92372226191414053</v>
      </c>
      <c r="U50" s="59">
        <f t="shared" si="17"/>
        <v>1.1968466908329971</v>
      </c>
      <c r="V50" s="60">
        <f t="shared" si="18"/>
        <v>33.35601542580067</v>
      </c>
      <c r="W50" s="60">
        <f t="shared" si="19"/>
        <v>49.959438140007926</v>
      </c>
      <c r="X50" s="60">
        <f t="shared" si="20"/>
        <v>2.3661339828671504</v>
      </c>
      <c r="Y50" s="61">
        <f t="shared" si="21"/>
        <v>4.5698924731182797E-2</v>
      </c>
    </row>
    <row r="51" spans="1:25" ht="15" customHeight="1" x14ac:dyDescent="0.2">
      <c r="A51" s="55">
        <v>2019</v>
      </c>
      <c r="B51" s="55">
        <v>2</v>
      </c>
      <c r="C51" s="63">
        <v>43497</v>
      </c>
      <c r="D51" s="56">
        <v>672</v>
      </c>
      <c r="E51" s="56">
        <v>9</v>
      </c>
      <c r="F51" s="56">
        <v>28771.42</v>
      </c>
      <c r="G51" s="56">
        <v>17576.393484047101</v>
      </c>
      <c r="H51" s="56">
        <v>674623.98174067796</v>
      </c>
      <c r="I51" s="56">
        <v>32500.631867467899</v>
      </c>
      <c r="J51" s="56">
        <v>1363529.3105528799</v>
      </c>
      <c r="K51" s="56">
        <v>5177.7229756349498</v>
      </c>
      <c r="L51" s="56">
        <v>218139.40893735501</v>
      </c>
      <c r="M51" s="57">
        <v>18.045535714285698</v>
      </c>
      <c r="N51" s="57">
        <v>23.258214285714299</v>
      </c>
      <c r="O51" s="58">
        <f t="shared" si="11"/>
        <v>42.814613095238094</v>
      </c>
      <c r="P51" s="58">
        <f t="shared" si="12"/>
        <v>38.382389558642295</v>
      </c>
      <c r="Q51" s="58">
        <f t="shared" si="13"/>
        <v>41.953932345473241</v>
      </c>
      <c r="R51" s="58">
        <f t="shared" si="14"/>
        <v>42.13037467702766</v>
      </c>
      <c r="S51" s="59">
        <f t="shared" si="15"/>
        <v>0.89647872032063847</v>
      </c>
      <c r="T51" s="59">
        <f t="shared" si="16"/>
        <v>0.9798975002331487</v>
      </c>
      <c r="U51" s="59">
        <f t="shared" si="17"/>
        <v>0.98401857756629973</v>
      </c>
      <c r="V51" s="60">
        <f t="shared" si="18"/>
        <v>26.155347446498663</v>
      </c>
      <c r="W51" s="60">
        <f t="shared" si="19"/>
        <v>48.364035517065325</v>
      </c>
      <c r="X51" s="60">
        <f t="shared" si="20"/>
        <v>7.7049449042186753</v>
      </c>
      <c r="Y51" s="61">
        <f t="shared" si="21"/>
        <v>1.3392857142857142E-2</v>
      </c>
    </row>
    <row r="52" spans="1:25" ht="15" customHeight="1" x14ac:dyDescent="0.2">
      <c r="A52" s="55">
        <v>2019</v>
      </c>
      <c r="B52" s="55">
        <v>3</v>
      </c>
      <c r="C52" s="63">
        <v>43525</v>
      </c>
      <c r="D52" s="56">
        <v>744</v>
      </c>
      <c r="E52" s="56">
        <v>46</v>
      </c>
      <c r="F52" s="56">
        <v>22777.45</v>
      </c>
      <c r="G52" s="56">
        <v>27238.2775430152</v>
      </c>
      <c r="H52" s="56">
        <v>672855.53472774394</v>
      </c>
      <c r="I52" s="56">
        <v>40995.875307710798</v>
      </c>
      <c r="J52" s="56">
        <v>1132724.3053826799</v>
      </c>
      <c r="K52" s="56">
        <v>7211.50735987199</v>
      </c>
      <c r="L52" s="56">
        <v>222066.45081092999</v>
      </c>
      <c r="M52" s="57">
        <v>15.7129032258065</v>
      </c>
      <c r="N52" s="57">
        <v>24.054838709677401</v>
      </c>
      <c r="O52" s="58">
        <f t="shared" si="11"/>
        <v>30.614852150537637</v>
      </c>
      <c r="P52" s="58">
        <f t="shared" si="12"/>
        <v>24.702572828445479</v>
      </c>
      <c r="Q52" s="58">
        <f t="shared" si="13"/>
        <v>27.630201742994107</v>
      </c>
      <c r="R52" s="58">
        <f t="shared" si="14"/>
        <v>30.79334731690156</v>
      </c>
      <c r="S52" s="59">
        <f t="shared" si="15"/>
        <v>0.80688199005434913</v>
      </c>
      <c r="T52" s="59">
        <f t="shared" si="16"/>
        <v>0.90250972329157186</v>
      </c>
      <c r="U52" s="59">
        <f t="shared" si="17"/>
        <v>1.0058303455292299</v>
      </c>
      <c r="V52" s="60">
        <f t="shared" si="18"/>
        <v>36.610588095450538</v>
      </c>
      <c r="W52" s="60">
        <f t="shared" si="19"/>
        <v>55.101982940471501</v>
      </c>
      <c r="X52" s="60">
        <f t="shared" si="20"/>
        <v>9.6928862363870838</v>
      </c>
      <c r="Y52" s="61">
        <f t="shared" si="21"/>
        <v>6.1827956989247312E-2</v>
      </c>
    </row>
    <row r="53" spans="1:25" ht="15" customHeight="1" x14ac:dyDescent="0.2">
      <c r="A53" s="55">
        <v>2019</v>
      </c>
      <c r="B53" s="55">
        <v>4</v>
      </c>
      <c r="C53" s="63">
        <v>43556</v>
      </c>
      <c r="D53" s="56">
        <v>720</v>
      </c>
      <c r="E53" s="56">
        <v>18</v>
      </c>
      <c r="F53" s="56">
        <v>26620.43</v>
      </c>
      <c r="G53" s="56">
        <v>14437.989494121301</v>
      </c>
      <c r="H53" s="56">
        <v>493688.95344502002</v>
      </c>
      <c r="I53" s="56">
        <v>27305.831901099999</v>
      </c>
      <c r="J53" s="56">
        <v>963049.68996454205</v>
      </c>
      <c r="K53" s="56">
        <v>12077.583325179001</v>
      </c>
      <c r="L53" s="56">
        <v>383587.01308007399</v>
      </c>
      <c r="M53" s="57">
        <v>15.1008333333333</v>
      </c>
      <c r="N53" s="57">
        <v>27.687999999999999</v>
      </c>
      <c r="O53" s="58">
        <f t="shared" si="11"/>
        <v>36.972819444444447</v>
      </c>
      <c r="P53" s="58">
        <f t="shared" si="12"/>
        <v>34.193746549409447</v>
      </c>
      <c r="Q53" s="58">
        <f t="shared" si="13"/>
        <v>35.269011156761209</v>
      </c>
      <c r="R53" s="58">
        <f t="shared" si="14"/>
        <v>31.760245634603301</v>
      </c>
      <c r="S53" s="59">
        <f t="shared" si="15"/>
        <v>0.92483470460750639</v>
      </c>
      <c r="T53" s="59">
        <f t="shared" si="16"/>
        <v>0.95391727454695774</v>
      </c>
      <c r="U53" s="59">
        <f t="shared" si="17"/>
        <v>0.8590160586028992</v>
      </c>
      <c r="V53" s="60">
        <f t="shared" si="18"/>
        <v>20.052763186279584</v>
      </c>
      <c r="W53" s="60">
        <f t="shared" si="19"/>
        <v>37.92476652930555</v>
      </c>
      <c r="X53" s="60">
        <f t="shared" si="20"/>
        <v>16.774421284970835</v>
      </c>
      <c r="Y53" s="61">
        <f t="shared" si="21"/>
        <v>2.5000000000000001E-2</v>
      </c>
    </row>
    <row r="54" spans="1:25" ht="15" customHeight="1" x14ac:dyDescent="0.2">
      <c r="A54" s="55">
        <v>2019</v>
      </c>
      <c r="B54" s="55">
        <v>5</v>
      </c>
      <c r="C54" s="63">
        <v>43586</v>
      </c>
      <c r="D54" s="56">
        <v>744</v>
      </c>
      <c r="E54" s="56">
        <v>9</v>
      </c>
      <c r="F54" s="56">
        <v>28147.07</v>
      </c>
      <c r="G54" s="56">
        <v>12739.359217674</v>
      </c>
      <c r="H54" s="56">
        <v>458067.20884849201</v>
      </c>
      <c r="I54" s="56">
        <v>28581.552292147499</v>
      </c>
      <c r="J54" s="56">
        <v>1015486.61132951</v>
      </c>
      <c r="K54" s="56">
        <v>11869.102065406199</v>
      </c>
      <c r="L54" s="56">
        <v>419254.553079376</v>
      </c>
      <c r="M54" s="57">
        <v>13.35</v>
      </c>
      <c r="N54" s="57">
        <v>27.02</v>
      </c>
      <c r="O54" s="58">
        <f t="shared" si="11"/>
        <v>37.83208333333333</v>
      </c>
      <c r="P54" s="58">
        <f t="shared" si="12"/>
        <v>35.95684845851514</v>
      </c>
      <c r="Q54" s="58">
        <f t="shared" si="13"/>
        <v>35.52944224126361</v>
      </c>
      <c r="R54" s="58">
        <f t="shared" si="14"/>
        <v>35.32319047970271</v>
      </c>
      <c r="S54" s="59">
        <f t="shared" si="15"/>
        <v>0.95043268280269555</v>
      </c>
      <c r="T54" s="59">
        <f t="shared" si="16"/>
        <v>0.93913522890660117</v>
      </c>
      <c r="U54" s="59">
        <f t="shared" si="17"/>
        <v>0.93368346037078886</v>
      </c>
      <c r="V54" s="60">
        <f t="shared" si="18"/>
        <v>17.12279464741129</v>
      </c>
      <c r="W54" s="60">
        <f t="shared" si="19"/>
        <v>38.416064908800401</v>
      </c>
      <c r="X54" s="60">
        <f t="shared" si="20"/>
        <v>15.953094173933064</v>
      </c>
      <c r="Y54" s="61">
        <f t="shared" si="21"/>
        <v>1.2096774193548387E-2</v>
      </c>
    </row>
    <row r="55" spans="1:25" ht="15" customHeight="1" x14ac:dyDescent="0.2">
      <c r="A55" s="55">
        <v>2019</v>
      </c>
      <c r="B55" s="55">
        <v>6</v>
      </c>
      <c r="C55" s="63">
        <v>43617</v>
      </c>
      <c r="D55" s="56">
        <v>720</v>
      </c>
      <c r="E55" s="56">
        <v>26</v>
      </c>
      <c r="F55" s="56">
        <v>23403.21</v>
      </c>
      <c r="G55" s="56">
        <v>10180.3537745632</v>
      </c>
      <c r="H55" s="56">
        <v>249170.442708546</v>
      </c>
      <c r="I55" s="56">
        <v>22004.206054878599</v>
      </c>
      <c r="J55" s="56">
        <v>608350.87771832198</v>
      </c>
      <c r="K55" s="56">
        <v>15250.776957227399</v>
      </c>
      <c r="L55" s="56">
        <v>443907.43954099203</v>
      </c>
      <c r="M55" s="57">
        <v>10.588333333333299</v>
      </c>
      <c r="N55" s="57">
        <v>26.753333333333298</v>
      </c>
      <c r="O55" s="58">
        <f t="shared" si="11"/>
        <v>32.504458333333332</v>
      </c>
      <c r="P55" s="58">
        <f t="shared" si="12"/>
        <v>24.475617274826675</v>
      </c>
      <c r="Q55" s="58">
        <f t="shared" si="13"/>
        <v>27.647026945716281</v>
      </c>
      <c r="R55" s="58">
        <f t="shared" si="14"/>
        <v>29.107201605923603</v>
      </c>
      <c r="S55" s="59">
        <f t="shared" si="15"/>
        <v>0.75299262100691344</v>
      </c>
      <c r="T55" s="59">
        <f t="shared" si="16"/>
        <v>0.85056107264412539</v>
      </c>
      <c r="U55" s="59">
        <f t="shared" si="17"/>
        <v>0.89548336131090545</v>
      </c>
      <c r="V55" s="60">
        <f t="shared" si="18"/>
        <v>14.139380242448889</v>
      </c>
      <c r="W55" s="60">
        <f t="shared" si="19"/>
        <v>30.5613972984425</v>
      </c>
      <c r="X55" s="60">
        <f t="shared" si="20"/>
        <v>21.181634662815831</v>
      </c>
      <c r="Y55" s="61">
        <f t="shared" si="21"/>
        <v>3.6111111111111108E-2</v>
      </c>
    </row>
    <row r="56" spans="1:25" ht="15" customHeight="1" x14ac:dyDescent="0.2">
      <c r="A56" s="55">
        <v>2019</v>
      </c>
      <c r="B56" s="55">
        <v>7</v>
      </c>
      <c r="C56" s="63">
        <v>43647</v>
      </c>
      <c r="D56" s="56">
        <v>744</v>
      </c>
      <c r="E56" s="56">
        <v>0</v>
      </c>
      <c r="F56" s="56">
        <v>29546.52</v>
      </c>
      <c r="G56" s="56">
        <v>9723.1583762667306</v>
      </c>
      <c r="H56" s="56">
        <v>355762.86453454098</v>
      </c>
      <c r="I56" s="56">
        <v>24963.583465047901</v>
      </c>
      <c r="J56" s="56">
        <v>909901.12156927004</v>
      </c>
      <c r="K56" s="56">
        <v>13550.1855046373</v>
      </c>
      <c r="L56" s="56">
        <v>530813.43600375101</v>
      </c>
      <c r="M56" s="57">
        <v>10.996774193548401</v>
      </c>
      <c r="N56" s="57">
        <v>29.954193548387099</v>
      </c>
      <c r="O56" s="58">
        <f t="shared" si="11"/>
        <v>39.71306451612903</v>
      </c>
      <c r="P56" s="58">
        <f t="shared" si="12"/>
        <v>36.589228599106541</v>
      </c>
      <c r="Q56" s="58">
        <f t="shared" si="13"/>
        <v>36.449138916423756</v>
      </c>
      <c r="R56" s="58">
        <f t="shared" si="14"/>
        <v>39.173887015944537</v>
      </c>
      <c r="S56" s="59">
        <f t="shared" si="15"/>
        <v>0.92133984231426469</v>
      </c>
      <c r="T56" s="59">
        <f t="shared" si="16"/>
        <v>0.91781229579047807</v>
      </c>
      <c r="U56" s="59">
        <f t="shared" si="17"/>
        <v>0.98642317064286211</v>
      </c>
      <c r="V56" s="60">
        <f t="shared" si="18"/>
        <v>13.068761258423025</v>
      </c>
      <c r="W56" s="60">
        <f t="shared" si="19"/>
        <v>33.553203582053634</v>
      </c>
      <c r="X56" s="60">
        <f t="shared" si="20"/>
        <v>18.212614925587769</v>
      </c>
      <c r="Y56" s="61">
        <f t="shared" si="21"/>
        <v>0</v>
      </c>
    </row>
    <row r="57" spans="1:25" ht="15" customHeight="1" x14ac:dyDescent="0.2">
      <c r="A57" s="55">
        <v>2019</v>
      </c>
      <c r="B57" s="55">
        <v>8</v>
      </c>
      <c r="C57" s="63">
        <v>43678</v>
      </c>
      <c r="D57" s="56">
        <v>744</v>
      </c>
      <c r="E57" s="56">
        <v>11</v>
      </c>
      <c r="F57" s="56">
        <v>27393.11</v>
      </c>
      <c r="G57" s="56">
        <v>8872.2704064558693</v>
      </c>
      <c r="H57" s="56">
        <v>274253.29088663199</v>
      </c>
      <c r="I57" s="56">
        <v>20138.8538850105</v>
      </c>
      <c r="J57" s="56">
        <v>650689.07551206695</v>
      </c>
      <c r="K57" s="56">
        <v>12471.548434717401</v>
      </c>
      <c r="L57" s="56">
        <v>421341.89544537</v>
      </c>
      <c r="M57" s="57">
        <v>10.056451612903199</v>
      </c>
      <c r="N57" s="57">
        <v>28.7293548387097</v>
      </c>
      <c r="O57" s="58">
        <f t="shared" si="11"/>
        <v>36.818696236559141</v>
      </c>
      <c r="P57" s="58">
        <f t="shared" si="12"/>
        <v>30.911286324983148</v>
      </c>
      <c r="Q57" s="58">
        <f t="shared" si="13"/>
        <v>32.310134391330962</v>
      </c>
      <c r="R57" s="58">
        <f t="shared" si="14"/>
        <v>33.784248816487668</v>
      </c>
      <c r="S57" s="59">
        <f t="shared" si="15"/>
        <v>0.8395540712897317</v>
      </c>
      <c r="T57" s="59">
        <f t="shared" si="16"/>
        <v>0.87754694472990602</v>
      </c>
      <c r="U57" s="59">
        <f t="shared" si="17"/>
        <v>0.91758406108203205</v>
      </c>
      <c r="V57" s="60">
        <f t="shared" si="18"/>
        <v>11.925094632333158</v>
      </c>
      <c r="W57" s="60">
        <f t="shared" si="19"/>
        <v>27.068351995981853</v>
      </c>
      <c r="X57" s="60">
        <f t="shared" si="20"/>
        <v>16.762833917630914</v>
      </c>
      <c r="Y57" s="61">
        <f t="shared" si="21"/>
        <v>1.4784946236559141E-2</v>
      </c>
    </row>
    <row r="58" spans="1:25" ht="15" customHeight="1" x14ac:dyDescent="0.2">
      <c r="A58" s="55">
        <v>2019</v>
      </c>
      <c r="B58" s="55">
        <v>9</v>
      </c>
      <c r="C58" s="63">
        <v>43709</v>
      </c>
      <c r="D58" s="56">
        <v>720</v>
      </c>
      <c r="E58" s="56">
        <v>15</v>
      </c>
      <c r="F58" s="56">
        <v>25751.279999999999</v>
      </c>
      <c r="G58" s="56">
        <v>14165.088300674201</v>
      </c>
      <c r="H58" s="56">
        <v>438510.25619418302</v>
      </c>
      <c r="I58" s="56">
        <v>29798.313303521001</v>
      </c>
      <c r="J58" s="56">
        <v>997045.01922532497</v>
      </c>
      <c r="K58" s="56">
        <v>9248.7725261038395</v>
      </c>
      <c r="L58" s="56">
        <v>309399.12870782899</v>
      </c>
      <c r="M58" s="57">
        <v>9.5966666666666693</v>
      </c>
      <c r="N58" s="57">
        <v>27.2216666666667</v>
      </c>
      <c r="O58" s="58">
        <f t="shared" si="11"/>
        <v>35.765666666666668</v>
      </c>
      <c r="P58" s="58">
        <f t="shared" si="12"/>
        <v>30.957114201209158</v>
      </c>
      <c r="Q58" s="58">
        <f t="shared" si="13"/>
        <v>33.45978039325847</v>
      </c>
      <c r="R58" s="58">
        <f t="shared" si="14"/>
        <v>33.452993663167454</v>
      </c>
      <c r="S58" s="59">
        <f t="shared" si="15"/>
        <v>0.86555395401201773</v>
      </c>
      <c r="T58" s="59">
        <f t="shared" si="16"/>
        <v>0.93552793815088409</v>
      </c>
      <c r="U58" s="59">
        <f t="shared" si="17"/>
        <v>0.93533818270317304</v>
      </c>
      <c r="V58" s="60">
        <f t="shared" si="18"/>
        <v>19.673733750936389</v>
      </c>
      <c r="W58" s="60">
        <f t="shared" si="19"/>
        <v>41.386546254890277</v>
      </c>
      <c r="X58" s="60">
        <f t="shared" si="20"/>
        <v>12.845517397366443</v>
      </c>
      <c r="Y58" s="61">
        <f t="shared" si="21"/>
        <v>2.0833333333333332E-2</v>
      </c>
    </row>
    <row r="59" spans="1:25" ht="15" customHeight="1" x14ac:dyDescent="0.2">
      <c r="A59" s="55">
        <v>2019</v>
      </c>
      <c r="B59" s="55">
        <v>10</v>
      </c>
      <c r="C59" s="63">
        <v>43739</v>
      </c>
      <c r="D59" s="56">
        <v>744</v>
      </c>
      <c r="E59" s="56">
        <v>5</v>
      </c>
      <c r="F59" s="56">
        <v>27488.97</v>
      </c>
      <c r="G59" s="56">
        <v>18558.983729683601</v>
      </c>
      <c r="H59" s="56">
        <v>599605.57704108895</v>
      </c>
      <c r="I59" s="56">
        <v>32980.7294716623</v>
      </c>
      <c r="J59" s="56">
        <v>1098675.86959497</v>
      </c>
      <c r="K59" s="56">
        <v>5739.4608568339499</v>
      </c>
      <c r="L59" s="56">
        <v>217174.86577738699</v>
      </c>
      <c r="M59" s="57">
        <v>10.4145161290323</v>
      </c>
      <c r="N59" s="57">
        <v>25.996774193548401</v>
      </c>
      <c r="O59" s="58">
        <f t="shared" si="11"/>
        <v>36.94754032258065</v>
      </c>
      <c r="P59" s="58">
        <f t="shared" si="12"/>
        <v>32.308104030613919</v>
      </c>
      <c r="Q59" s="58">
        <f t="shared" si="13"/>
        <v>33.312661278125283</v>
      </c>
      <c r="R59" s="58">
        <f t="shared" si="14"/>
        <v>37.838896578377721</v>
      </c>
      <c r="S59" s="59">
        <f t="shared" si="15"/>
        <v>0.87443179569029872</v>
      </c>
      <c r="T59" s="59">
        <f t="shared" si="16"/>
        <v>0.90162054056318619</v>
      </c>
      <c r="U59" s="59">
        <f t="shared" si="17"/>
        <v>1.024124914622593</v>
      </c>
      <c r="V59" s="60">
        <f t="shared" si="18"/>
        <v>24.944870604413442</v>
      </c>
      <c r="W59" s="60">
        <f t="shared" si="19"/>
        <v>44.328937461911693</v>
      </c>
      <c r="X59" s="60">
        <f t="shared" si="20"/>
        <v>7.7143291086477825</v>
      </c>
      <c r="Y59" s="61">
        <f t="shared" si="21"/>
        <v>6.7204301075268818E-3</v>
      </c>
    </row>
    <row r="60" spans="1:25" ht="15" customHeight="1" x14ac:dyDescent="0.2">
      <c r="A60" s="55">
        <v>2019</v>
      </c>
      <c r="B60" s="55">
        <v>11</v>
      </c>
      <c r="C60" s="63">
        <v>43770</v>
      </c>
      <c r="D60" s="56">
        <v>720</v>
      </c>
      <c r="E60" s="56">
        <v>0</v>
      </c>
      <c r="F60" s="56">
        <v>29523.48</v>
      </c>
      <c r="G60" s="56">
        <v>15072.8613739518</v>
      </c>
      <c r="H60" s="56">
        <v>558624.18904636195</v>
      </c>
      <c r="I60" s="56">
        <v>32156.492491581401</v>
      </c>
      <c r="J60" s="56">
        <v>1233510.7475874601</v>
      </c>
      <c r="K60" s="56">
        <v>2318.0983936644602</v>
      </c>
      <c r="L60" s="56">
        <v>101459.31110584</v>
      </c>
      <c r="M60" s="57">
        <v>14.6308333333333</v>
      </c>
      <c r="N60" s="57">
        <v>25.687999999999999</v>
      </c>
      <c r="O60" s="58">
        <f t="shared" si="11"/>
        <v>41.00483333333333</v>
      </c>
      <c r="P60" s="58">
        <f t="shared" si="12"/>
        <v>37.061588718101632</v>
      </c>
      <c r="Q60" s="58">
        <f t="shared" si="13"/>
        <v>38.359617359088347</v>
      </c>
      <c r="R60" s="58">
        <f t="shared" si="14"/>
        <v>43.768336746678237</v>
      </c>
      <c r="S60" s="59">
        <f t="shared" si="15"/>
        <v>0.90383463863450975</v>
      </c>
      <c r="T60" s="59">
        <f t="shared" si="16"/>
        <v>0.93549014203419145</v>
      </c>
      <c r="U60" s="59">
        <f t="shared" si="17"/>
        <v>1.0673945773875009</v>
      </c>
      <c r="V60" s="60">
        <f t="shared" si="18"/>
        <v>20.934529686044169</v>
      </c>
      <c r="W60" s="60">
        <f t="shared" si="19"/>
        <v>44.661795127196392</v>
      </c>
      <c r="X60" s="60">
        <f t="shared" si="20"/>
        <v>3.2195811023117504</v>
      </c>
      <c r="Y60" s="61">
        <f t="shared" si="21"/>
        <v>0</v>
      </c>
    </row>
    <row r="61" spans="1:25" ht="15" customHeight="1" x14ac:dyDescent="0.2">
      <c r="A61" s="55">
        <v>2019</v>
      </c>
      <c r="B61" s="55">
        <v>12</v>
      </c>
      <c r="C61" s="63">
        <v>43800</v>
      </c>
      <c r="D61" s="56">
        <v>744</v>
      </c>
      <c r="E61" s="56">
        <v>38</v>
      </c>
      <c r="F61" s="56">
        <v>23786.14</v>
      </c>
      <c r="G61" s="56">
        <v>23090.1088232701</v>
      </c>
      <c r="H61" s="56">
        <v>612198.39669177204</v>
      </c>
      <c r="I61" s="56">
        <v>43695.906770657697</v>
      </c>
      <c r="J61" s="56">
        <v>1322559.7703211801</v>
      </c>
      <c r="K61" s="56">
        <v>1972.21780919854</v>
      </c>
      <c r="L61" s="56">
        <v>72905.080271323895</v>
      </c>
      <c r="M61" s="57">
        <v>13.220161290322601</v>
      </c>
      <c r="N61" s="57">
        <v>26.423548387096801</v>
      </c>
      <c r="O61" s="58">
        <f t="shared" si="11"/>
        <v>31.970618279569891</v>
      </c>
      <c r="P61" s="58">
        <f t="shared" si="12"/>
        <v>26.513447874043862</v>
      </c>
      <c r="Q61" s="58">
        <f t="shared" si="13"/>
        <v>30.267360676659401</v>
      </c>
      <c r="R61" s="58">
        <f t="shared" si="14"/>
        <v>36.966038908730219</v>
      </c>
      <c r="S61" s="59">
        <f t="shared" si="15"/>
        <v>0.8293066978622271</v>
      </c>
      <c r="T61" s="59">
        <f t="shared" si="16"/>
        <v>0.94672428327734537</v>
      </c>
      <c r="U61" s="59">
        <f t="shared" si="17"/>
        <v>1.1562503604239815</v>
      </c>
      <c r="V61" s="60">
        <f t="shared" si="18"/>
        <v>31.035092504395298</v>
      </c>
      <c r="W61" s="60">
        <f t="shared" si="19"/>
        <v>58.731057487443138</v>
      </c>
      <c r="X61" s="60">
        <f t="shared" si="20"/>
        <v>2.6508303887077149</v>
      </c>
      <c r="Y61" s="61">
        <f t="shared" si="21"/>
        <v>5.1075268817204304E-2</v>
      </c>
    </row>
    <row r="62" spans="1:25" ht="15" customHeight="1" x14ac:dyDescent="0.2">
      <c r="A62" s="55">
        <v>2020</v>
      </c>
      <c r="B62" s="55">
        <v>1</v>
      </c>
      <c r="C62" s="63">
        <v>43831</v>
      </c>
      <c r="D62" s="56">
        <v>744</v>
      </c>
      <c r="E62" s="56">
        <v>3</v>
      </c>
      <c r="F62" s="56">
        <v>26024.16</v>
      </c>
      <c r="G62" s="56">
        <v>24097.069832295601</v>
      </c>
      <c r="H62" s="56">
        <v>748911.67242573097</v>
      </c>
      <c r="I62" s="56">
        <v>44452.7315234653</v>
      </c>
      <c r="J62" s="56">
        <v>1498108.8452504</v>
      </c>
      <c r="K62" s="56">
        <v>2317.9730374462702</v>
      </c>
      <c r="L62" s="56">
        <v>88780.870930332894</v>
      </c>
      <c r="M62" s="57">
        <v>11.220161290322601</v>
      </c>
      <c r="N62" s="57">
        <v>25.411290322580601</v>
      </c>
      <c r="O62" s="58">
        <f t="shared" si="11"/>
        <v>34.978709677419353</v>
      </c>
      <c r="P62" s="58">
        <f t="shared" si="12"/>
        <v>31.078951824342457</v>
      </c>
      <c r="Q62" s="58">
        <f t="shared" si="13"/>
        <v>33.701165123218402</v>
      </c>
      <c r="R62" s="58">
        <f t="shared" si="14"/>
        <v>38.301080079923409</v>
      </c>
      <c r="S62" s="59">
        <f t="shared" si="15"/>
        <v>0.88851052857463175</v>
      </c>
      <c r="T62" s="59">
        <f t="shared" si="16"/>
        <v>0.96347650996898626</v>
      </c>
      <c r="U62" s="59">
        <f t="shared" si="17"/>
        <v>1.09498264610512</v>
      </c>
      <c r="V62" s="60">
        <f t="shared" si="18"/>
        <v>32.388534720827423</v>
      </c>
      <c r="W62" s="60">
        <f t="shared" si="19"/>
        <v>59.7482950584211</v>
      </c>
      <c r="X62" s="60">
        <f t="shared" si="20"/>
        <v>3.1155551578578899</v>
      </c>
      <c r="Y62" s="61">
        <f t="shared" si="21"/>
        <v>4.0322580645161289E-3</v>
      </c>
    </row>
    <row r="63" spans="1:25" ht="15" customHeight="1" x14ac:dyDescent="0.2">
      <c r="A63" s="55">
        <v>2020</v>
      </c>
      <c r="B63" s="55">
        <v>2</v>
      </c>
      <c r="C63" s="63">
        <v>43862</v>
      </c>
      <c r="D63" s="56">
        <v>696</v>
      </c>
      <c r="E63" s="56">
        <v>85</v>
      </c>
      <c r="F63" s="56">
        <v>15250.64</v>
      </c>
      <c r="G63" s="56">
        <v>32785.550892606203</v>
      </c>
      <c r="H63" s="56">
        <v>576573.51834850898</v>
      </c>
      <c r="I63" s="56">
        <v>39864.440803342201</v>
      </c>
      <c r="J63" s="56">
        <v>807823.79210822994</v>
      </c>
      <c r="K63" s="56">
        <v>3530.64177220601</v>
      </c>
      <c r="L63" s="56">
        <v>81980.293760754401</v>
      </c>
      <c r="M63" s="57">
        <v>9.3887931034482808</v>
      </c>
      <c r="N63" s="57">
        <v>24.919310344827601</v>
      </c>
      <c r="O63" s="58">
        <f t="shared" si="11"/>
        <v>21.911839080459771</v>
      </c>
      <c r="P63" s="58">
        <f t="shared" si="12"/>
        <v>17.586208029175982</v>
      </c>
      <c r="Q63" s="58">
        <f t="shared" si="13"/>
        <v>20.264270006780144</v>
      </c>
      <c r="R63" s="58">
        <f t="shared" si="14"/>
        <v>23.21965779879492</v>
      </c>
      <c r="S63" s="59">
        <f t="shared" si="15"/>
        <v>0.80258932007486128</v>
      </c>
      <c r="T63" s="59">
        <f t="shared" si="16"/>
        <v>0.92480918339944951</v>
      </c>
      <c r="U63" s="59">
        <f t="shared" si="17"/>
        <v>1.0596854838853493</v>
      </c>
      <c r="V63" s="60">
        <f t="shared" si="18"/>
        <v>47.105676569836497</v>
      </c>
      <c r="W63" s="60">
        <f t="shared" si="19"/>
        <v>57.27649540710086</v>
      </c>
      <c r="X63" s="60">
        <f t="shared" si="20"/>
        <v>5.0727611669626578</v>
      </c>
      <c r="Y63" s="61">
        <f t="shared" si="21"/>
        <v>0.1221264367816092</v>
      </c>
    </row>
    <row r="64" spans="1:25" ht="15" customHeight="1" x14ac:dyDescent="0.2">
      <c r="A64" s="55">
        <v>2020</v>
      </c>
      <c r="B64" s="55">
        <v>3</v>
      </c>
      <c r="C64" s="63">
        <v>43891</v>
      </c>
      <c r="D64" s="56">
        <v>744</v>
      </c>
      <c r="E64" s="56">
        <v>40</v>
      </c>
      <c r="F64" s="56">
        <v>16754.37</v>
      </c>
      <c r="G64" s="56">
        <v>21900.823583267502</v>
      </c>
      <c r="H64" s="56">
        <v>405298.08723112597</v>
      </c>
      <c r="I64" s="56">
        <v>34920.210486587501</v>
      </c>
      <c r="J64" s="56">
        <v>679795.29133343103</v>
      </c>
      <c r="K64" s="56">
        <v>8670.5611190592808</v>
      </c>
      <c r="L64" s="56">
        <v>140642.41420387101</v>
      </c>
      <c r="M64" s="57">
        <v>8.6112903225806505</v>
      </c>
      <c r="N64" s="57">
        <v>20.843548387096799</v>
      </c>
      <c r="O64" s="58">
        <f t="shared" si="11"/>
        <v>22.519314516129032</v>
      </c>
      <c r="P64" s="58">
        <f t="shared" si="12"/>
        <v>18.506066024876741</v>
      </c>
      <c r="Q64" s="58">
        <f t="shared" si="13"/>
        <v>19.467101768889208</v>
      </c>
      <c r="R64" s="58">
        <f t="shared" si="14"/>
        <v>16.220681945798926</v>
      </c>
      <c r="S64" s="59">
        <f t="shared" si="15"/>
        <v>0.821786383045635</v>
      </c>
      <c r="T64" s="59">
        <f t="shared" si="16"/>
        <v>0.86446244866584487</v>
      </c>
      <c r="U64" s="59">
        <f t="shared" si="17"/>
        <v>0.72030087479710669</v>
      </c>
      <c r="V64" s="60">
        <f t="shared" si="18"/>
        <v>29.436590837725138</v>
      </c>
      <c r="W64" s="60">
        <f t="shared" si="19"/>
        <v>46.935766783047718</v>
      </c>
      <c r="X64" s="60">
        <f t="shared" si="20"/>
        <v>11.653979998735592</v>
      </c>
      <c r="Y64" s="61">
        <f t="shared" si="21"/>
        <v>5.3763440860215055E-2</v>
      </c>
    </row>
    <row r="65" spans="1:25" ht="15" customHeight="1" x14ac:dyDescent="0.2">
      <c r="A65" s="55">
        <v>2020</v>
      </c>
      <c r="B65" s="55">
        <v>4</v>
      </c>
      <c r="C65" s="63">
        <v>43922</v>
      </c>
      <c r="D65" s="56">
        <v>720</v>
      </c>
      <c r="E65" s="56">
        <v>40</v>
      </c>
      <c r="F65" s="56">
        <v>12275.42</v>
      </c>
      <c r="G65" s="56">
        <v>13148.618424414501</v>
      </c>
      <c r="H65" s="56">
        <v>149129.98284846899</v>
      </c>
      <c r="I65" s="56">
        <v>24358.1791986594</v>
      </c>
      <c r="J65" s="56">
        <v>321297.40256724303</v>
      </c>
      <c r="K65" s="56">
        <v>13344.207306591001</v>
      </c>
      <c r="L65" s="56">
        <v>119719.74928973299</v>
      </c>
      <c r="M65" s="57">
        <v>6.6133333333333297</v>
      </c>
      <c r="N65" s="57">
        <v>21.428000000000001</v>
      </c>
      <c r="O65" s="58">
        <f t="shared" si="11"/>
        <v>17.049194444444446</v>
      </c>
      <c r="P65" s="58">
        <f t="shared" si="12"/>
        <v>11.34187471526003</v>
      </c>
      <c r="Q65" s="58">
        <f t="shared" si="13"/>
        <v>13.190534479068381</v>
      </c>
      <c r="R65" s="58">
        <f t="shared" si="14"/>
        <v>8.9716643738441277</v>
      </c>
      <c r="S65" s="59">
        <f t="shared" si="15"/>
        <v>0.66524402382869352</v>
      </c>
      <c r="T65" s="59">
        <f t="shared" si="16"/>
        <v>0.77367493942604271</v>
      </c>
      <c r="U65" s="59">
        <f t="shared" si="17"/>
        <v>0.52622218621992334</v>
      </c>
      <c r="V65" s="60">
        <f t="shared" si="18"/>
        <v>18.26197003390903</v>
      </c>
      <c r="W65" s="60">
        <f t="shared" si="19"/>
        <v>33.830804442582497</v>
      </c>
      <c r="X65" s="60">
        <f t="shared" si="20"/>
        <v>18.533621259154167</v>
      </c>
      <c r="Y65" s="61">
        <f t="shared" si="21"/>
        <v>5.5555555555555552E-2</v>
      </c>
    </row>
    <row r="66" spans="1:25" ht="15" customHeight="1" x14ac:dyDescent="0.2">
      <c r="A66" s="55">
        <v>2020</v>
      </c>
      <c r="B66" s="55">
        <v>5</v>
      </c>
      <c r="C66" s="63">
        <v>43952</v>
      </c>
      <c r="D66" s="56">
        <v>744</v>
      </c>
      <c r="E66" s="56">
        <v>36</v>
      </c>
      <c r="F66" s="56">
        <v>13098.03</v>
      </c>
      <c r="G66" s="56">
        <v>11461.464521600299</v>
      </c>
      <c r="H66" s="56">
        <v>151019.71165151501</v>
      </c>
      <c r="I66" s="56">
        <v>20880.690286986999</v>
      </c>
      <c r="J66" s="56">
        <v>296085.865536328</v>
      </c>
      <c r="K66" s="56">
        <v>13091.2533306885</v>
      </c>
      <c r="L66" s="56">
        <v>185071.028574005</v>
      </c>
      <c r="M66" s="57">
        <v>4.5048387096774203</v>
      </c>
      <c r="N66" s="57">
        <v>21.247741935483901</v>
      </c>
      <c r="O66" s="58">
        <f t="shared" ref="O66:O100" si="22">IFERROR(F66/D66,"")</f>
        <v>17.604879032258065</v>
      </c>
      <c r="P66" s="58">
        <f t="shared" ref="P66:P100" si="23">IFERROR(H66/G66,"")</f>
        <v>13.176301454923406</v>
      </c>
      <c r="Q66" s="58">
        <f t="shared" ref="Q66:Q100" si="24">IFERROR(J66/I66,"")</f>
        <v>14.179888761668522</v>
      </c>
      <c r="R66" s="58">
        <f t="shared" ref="R66:R100" si="25">IFERROR(L66/K66,"")</f>
        <v>14.136998490447185</v>
      </c>
      <c r="S66" s="59">
        <f t="shared" ref="S66:S100" si="26">IFERROR(P66/O66,"")</f>
        <v>0.74844600924436833</v>
      </c>
      <c r="T66" s="59">
        <f t="shared" ref="T66:T100" si="27">IFERROR(Q66/O66,"")</f>
        <v>0.80545221217857799</v>
      </c>
      <c r="U66" s="59">
        <f t="shared" ref="U66:U100" si="28">IFERROR(R66/O66,"")</f>
        <v>0.80301594032787416</v>
      </c>
      <c r="V66" s="60">
        <f t="shared" ref="V66:V100" si="29">IFERROR(G66/D66,"")</f>
        <v>15.405194249462768</v>
      </c>
      <c r="W66" s="60">
        <f t="shared" ref="W66:W100" si="30">IFERROR(I66/D66,"")</f>
        <v>28.06544393412231</v>
      </c>
      <c r="X66" s="60">
        <f t="shared" ref="X66:X100" si="31">IFERROR(K66/D66,"")</f>
        <v>17.595770605764113</v>
      </c>
      <c r="Y66" s="61">
        <f t="shared" ref="Y66:Y100" si="32">IFERROR(E66/D66,"")</f>
        <v>4.8387096774193547E-2</v>
      </c>
    </row>
    <row r="67" spans="1:25" ht="15" customHeight="1" x14ac:dyDescent="0.2">
      <c r="A67" s="55">
        <v>2020</v>
      </c>
      <c r="B67" s="55">
        <v>6</v>
      </c>
      <c r="C67" s="63">
        <v>43983</v>
      </c>
      <c r="D67" s="56">
        <v>720</v>
      </c>
      <c r="E67" s="56">
        <v>8</v>
      </c>
      <c r="F67" s="56">
        <v>18885</v>
      </c>
      <c r="G67" s="56">
        <v>9381.8864945115292</v>
      </c>
      <c r="H67" s="56">
        <v>209864.63319079799</v>
      </c>
      <c r="I67" s="56">
        <v>19092.5743604649</v>
      </c>
      <c r="J67" s="56">
        <v>427659.71526872797</v>
      </c>
      <c r="K67" s="56">
        <v>12082.009605850501</v>
      </c>
      <c r="L67" s="56">
        <v>298823.763293745</v>
      </c>
      <c r="M67" s="57">
        <v>4.9924999999999997</v>
      </c>
      <c r="N67" s="57">
        <v>24.713000000000001</v>
      </c>
      <c r="O67" s="58">
        <f t="shared" si="22"/>
        <v>26.229166666666668</v>
      </c>
      <c r="P67" s="58">
        <f t="shared" si="23"/>
        <v>22.369129419074756</v>
      </c>
      <c r="Q67" s="58">
        <f t="shared" si="24"/>
        <v>22.399269328199413</v>
      </c>
      <c r="R67" s="58">
        <f t="shared" si="25"/>
        <v>24.73295197092418</v>
      </c>
      <c r="S67" s="59">
        <f t="shared" si="26"/>
        <v>0.85283416371373177</v>
      </c>
      <c r="T67" s="59">
        <f t="shared" si="27"/>
        <v>0.85398326271133584</v>
      </c>
      <c r="U67" s="59">
        <f t="shared" si="28"/>
        <v>0.94295607196533804</v>
      </c>
      <c r="V67" s="60">
        <f t="shared" si="29"/>
        <v>13.03039790904379</v>
      </c>
      <c r="W67" s="60">
        <f t="shared" si="30"/>
        <v>26.517464389534585</v>
      </c>
      <c r="X67" s="60">
        <f t="shared" si="31"/>
        <v>16.780568897014582</v>
      </c>
      <c r="Y67" s="61">
        <f t="shared" si="32"/>
        <v>1.1111111111111112E-2</v>
      </c>
    </row>
    <row r="68" spans="1:25" ht="15" customHeight="1" x14ac:dyDescent="0.2">
      <c r="A68" s="55">
        <v>2020</v>
      </c>
      <c r="B68" s="55">
        <v>7</v>
      </c>
      <c r="C68" s="63">
        <v>44013</v>
      </c>
      <c r="D68" s="56">
        <v>744</v>
      </c>
      <c r="E68" s="56">
        <v>24</v>
      </c>
      <c r="F68" s="56">
        <v>22375.759999999998</v>
      </c>
      <c r="G68" s="56">
        <v>10287.711917910799</v>
      </c>
      <c r="H68" s="56">
        <v>225648.21904427401</v>
      </c>
      <c r="I68" s="56">
        <v>20401.293730190999</v>
      </c>
      <c r="J68" s="56">
        <v>492383.764456023</v>
      </c>
      <c r="K68" s="56">
        <v>13276.7185116664</v>
      </c>
      <c r="L68" s="56">
        <v>348564.20447508001</v>
      </c>
      <c r="M68" s="57">
        <v>4.8612903225806496</v>
      </c>
      <c r="N68" s="57">
        <v>28.9835483870968</v>
      </c>
      <c r="O68" s="58">
        <f t="shared" si="22"/>
        <v>30.074946236559139</v>
      </c>
      <c r="P68" s="58">
        <f t="shared" si="23"/>
        <v>21.933761447132166</v>
      </c>
      <c r="Q68" s="58">
        <f t="shared" si="24"/>
        <v>24.134928449530893</v>
      </c>
      <c r="R68" s="58">
        <f t="shared" si="25"/>
        <v>26.253791866476099</v>
      </c>
      <c r="S68" s="59">
        <f t="shared" si="26"/>
        <v>0.72930342999148778</v>
      </c>
      <c r="T68" s="59">
        <f t="shared" si="27"/>
        <v>0.80249282109081366</v>
      </c>
      <c r="U68" s="59">
        <f t="shared" si="28"/>
        <v>0.87294559597788934</v>
      </c>
      <c r="V68" s="60">
        <f t="shared" si="29"/>
        <v>13.827569782138172</v>
      </c>
      <c r="W68" s="60">
        <f t="shared" si="30"/>
        <v>27.421093723374998</v>
      </c>
      <c r="X68" s="60">
        <f t="shared" si="31"/>
        <v>17.845051762992473</v>
      </c>
      <c r="Y68" s="61">
        <f t="shared" si="32"/>
        <v>3.2258064516129031E-2</v>
      </c>
    </row>
    <row r="69" spans="1:25" ht="15" customHeight="1" x14ac:dyDescent="0.2">
      <c r="A69" s="55">
        <v>2020</v>
      </c>
      <c r="B69" s="55">
        <v>8</v>
      </c>
      <c r="C69" s="63">
        <v>44044</v>
      </c>
      <c r="D69" s="56">
        <v>744</v>
      </c>
      <c r="E69" s="56">
        <v>4</v>
      </c>
      <c r="F69" s="56">
        <v>25957.94</v>
      </c>
      <c r="G69" s="56">
        <v>9802.6884904944509</v>
      </c>
      <c r="H69" s="56">
        <v>295645.38950485602</v>
      </c>
      <c r="I69" s="56">
        <v>20322.828571458202</v>
      </c>
      <c r="J69" s="56">
        <v>650839.28652024595</v>
      </c>
      <c r="K69" s="56">
        <v>11489.8602498206</v>
      </c>
      <c r="L69" s="56">
        <v>381526.18518484401</v>
      </c>
      <c r="M69" s="57">
        <v>7.4346774193548404</v>
      </c>
      <c r="N69" s="57">
        <v>28.312258064516101</v>
      </c>
      <c r="O69" s="58">
        <f t="shared" si="22"/>
        <v>34.88970430107527</v>
      </c>
      <c r="P69" s="58">
        <f t="shared" si="23"/>
        <v>30.159623025003782</v>
      </c>
      <c r="Q69" s="58">
        <f t="shared" si="24"/>
        <v>32.025034518782391</v>
      </c>
      <c r="R69" s="58">
        <f t="shared" si="25"/>
        <v>33.205467855085622</v>
      </c>
      <c r="S69" s="59">
        <f t="shared" si="26"/>
        <v>0.86442759057932994</v>
      </c>
      <c r="T69" s="59">
        <f t="shared" si="27"/>
        <v>0.91789354941008794</v>
      </c>
      <c r="U69" s="59">
        <f t="shared" si="28"/>
        <v>0.95172683518737244</v>
      </c>
      <c r="V69" s="60">
        <f t="shared" si="29"/>
        <v>13.175656573245229</v>
      </c>
      <c r="W69" s="60">
        <f t="shared" si="30"/>
        <v>27.315629800347047</v>
      </c>
      <c r="X69" s="60">
        <f t="shared" si="31"/>
        <v>15.443360550834139</v>
      </c>
      <c r="Y69" s="61">
        <f t="shared" si="32"/>
        <v>5.3763440860215058E-3</v>
      </c>
    </row>
    <row r="70" spans="1:25" ht="15" customHeight="1" x14ac:dyDescent="0.2">
      <c r="A70" s="55">
        <v>2020</v>
      </c>
      <c r="B70" s="55">
        <v>9</v>
      </c>
      <c r="C70" s="63">
        <v>44075</v>
      </c>
      <c r="D70" s="56">
        <v>720</v>
      </c>
      <c r="E70" s="56">
        <v>6</v>
      </c>
      <c r="F70" s="56">
        <v>31448.23</v>
      </c>
      <c r="G70" s="56">
        <v>8822.7476533670197</v>
      </c>
      <c r="H70" s="56">
        <v>335920.81628006703</v>
      </c>
      <c r="I70" s="56">
        <v>22264.496249744501</v>
      </c>
      <c r="J70" s="56">
        <v>855403.95521222695</v>
      </c>
      <c r="K70" s="56">
        <v>9783.5745637074797</v>
      </c>
      <c r="L70" s="56">
        <v>389391.79319316399</v>
      </c>
      <c r="M70" s="57">
        <v>11.1625</v>
      </c>
      <c r="N70" s="57">
        <v>28.904</v>
      </c>
      <c r="O70" s="58">
        <f t="shared" si="22"/>
        <v>43.67809722222222</v>
      </c>
      <c r="P70" s="58">
        <f t="shared" si="23"/>
        <v>38.074399209623749</v>
      </c>
      <c r="Q70" s="58">
        <f t="shared" si="24"/>
        <v>38.420090246687849</v>
      </c>
      <c r="R70" s="58">
        <f t="shared" si="25"/>
        <v>39.800564779015104</v>
      </c>
      <c r="S70" s="59">
        <f t="shared" si="26"/>
        <v>0.87170462156150286</v>
      </c>
      <c r="T70" s="59">
        <f t="shared" si="27"/>
        <v>0.87961913842576367</v>
      </c>
      <c r="U70" s="59">
        <f t="shared" si="28"/>
        <v>0.91122478565219334</v>
      </c>
      <c r="V70" s="60">
        <f t="shared" si="29"/>
        <v>12.253816185231972</v>
      </c>
      <c r="W70" s="60">
        <f t="shared" si="30"/>
        <v>30.922911457978476</v>
      </c>
      <c r="X70" s="60">
        <f t="shared" si="31"/>
        <v>13.588298005149277</v>
      </c>
      <c r="Y70" s="61">
        <f t="shared" si="32"/>
        <v>8.3333333333333332E-3</v>
      </c>
    </row>
    <row r="71" spans="1:25" ht="15" customHeight="1" x14ac:dyDescent="0.2">
      <c r="A71" s="55">
        <v>2020</v>
      </c>
      <c r="B71" s="55">
        <v>10</v>
      </c>
      <c r="C71" s="63">
        <v>44105</v>
      </c>
      <c r="D71" s="56">
        <v>744</v>
      </c>
      <c r="E71" s="56">
        <v>18</v>
      </c>
      <c r="F71" s="56">
        <v>25263.19</v>
      </c>
      <c r="G71" s="56">
        <v>20542.646845888201</v>
      </c>
      <c r="H71" s="56">
        <v>617646.07603779505</v>
      </c>
      <c r="I71" s="56">
        <v>40036.9571882577</v>
      </c>
      <c r="J71" s="56">
        <v>1269786.745656</v>
      </c>
      <c r="K71" s="56">
        <v>4568.7324555614196</v>
      </c>
      <c r="L71" s="56">
        <v>149247.11704638999</v>
      </c>
      <c r="M71" s="57">
        <v>13.912903225806501</v>
      </c>
      <c r="N71" s="57">
        <v>26.218387096774201</v>
      </c>
      <c r="O71" s="58">
        <f t="shared" si="22"/>
        <v>33.955900537634406</v>
      </c>
      <c r="P71" s="58">
        <f t="shared" si="23"/>
        <v>30.066528460105548</v>
      </c>
      <c r="Q71" s="58">
        <f t="shared" si="24"/>
        <v>31.715365872719502</v>
      </c>
      <c r="R71" s="58">
        <f t="shared" si="25"/>
        <v>32.667073088229252</v>
      </c>
      <c r="S71" s="59">
        <f t="shared" si="26"/>
        <v>0.88545813788039163</v>
      </c>
      <c r="T71" s="59">
        <f t="shared" si="27"/>
        <v>0.93401633797249328</v>
      </c>
      <c r="U71" s="59">
        <f t="shared" si="28"/>
        <v>0.96204407985066676</v>
      </c>
      <c r="V71" s="60">
        <f t="shared" si="29"/>
        <v>27.611084470279842</v>
      </c>
      <c r="W71" s="60">
        <f t="shared" si="30"/>
        <v>53.813114500346373</v>
      </c>
      <c r="X71" s="60">
        <f t="shared" si="31"/>
        <v>6.1407694295180368</v>
      </c>
      <c r="Y71" s="61">
        <f t="shared" si="32"/>
        <v>2.4193548387096774E-2</v>
      </c>
    </row>
    <row r="72" spans="1:25" ht="15" customHeight="1" x14ac:dyDescent="0.2">
      <c r="A72" s="55">
        <v>2020</v>
      </c>
      <c r="B72" s="55">
        <v>11</v>
      </c>
      <c r="C72" s="63">
        <v>44136</v>
      </c>
      <c r="D72" s="56">
        <v>720</v>
      </c>
      <c r="E72" s="56">
        <v>9</v>
      </c>
      <c r="F72" s="56">
        <v>27933.49</v>
      </c>
      <c r="G72" s="56">
        <v>16403.908015282599</v>
      </c>
      <c r="H72" s="56">
        <v>528377.89629971399</v>
      </c>
      <c r="I72" s="56">
        <v>33333.6835093552</v>
      </c>
      <c r="J72" s="56">
        <v>1174703.03448923</v>
      </c>
      <c r="K72" s="56">
        <v>3205.0081650403099</v>
      </c>
      <c r="L72" s="56">
        <v>128137.45994856099</v>
      </c>
      <c r="M72" s="57">
        <v>13.7741666666667</v>
      </c>
      <c r="N72" s="57">
        <v>27.269666666666701</v>
      </c>
      <c r="O72" s="58">
        <f t="shared" si="22"/>
        <v>38.796513888888889</v>
      </c>
      <c r="P72" s="58">
        <f t="shared" si="23"/>
        <v>32.210488854695726</v>
      </c>
      <c r="Q72" s="58">
        <f t="shared" si="24"/>
        <v>35.240720821014158</v>
      </c>
      <c r="R72" s="58">
        <f t="shared" si="25"/>
        <v>39.980384869612145</v>
      </c>
      <c r="S72" s="59">
        <f t="shared" si="26"/>
        <v>0.83024183427781217</v>
      </c>
      <c r="T72" s="59">
        <f t="shared" si="27"/>
        <v>0.90834761396195729</v>
      </c>
      <c r="U72" s="59">
        <f t="shared" si="28"/>
        <v>1.0305148803862583</v>
      </c>
      <c r="V72" s="60">
        <f t="shared" si="29"/>
        <v>22.783205576781388</v>
      </c>
      <c r="W72" s="60">
        <f t="shared" si="30"/>
        <v>46.296782651882225</v>
      </c>
      <c r="X72" s="60">
        <f t="shared" si="31"/>
        <v>4.4514002292226529</v>
      </c>
      <c r="Y72" s="61">
        <f t="shared" si="32"/>
        <v>1.2500000000000001E-2</v>
      </c>
    </row>
    <row r="73" spans="1:25" ht="15" customHeight="1" x14ac:dyDescent="0.2">
      <c r="A73" s="55">
        <v>2020</v>
      </c>
      <c r="B73" s="55">
        <v>12</v>
      </c>
      <c r="C73" s="63">
        <v>44166</v>
      </c>
      <c r="D73" s="56">
        <v>744</v>
      </c>
      <c r="E73" s="56">
        <v>25</v>
      </c>
      <c r="F73" s="56">
        <v>32397.52</v>
      </c>
      <c r="G73" s="56">
        <v>17079.967066691901</v>
      </c>
      <c r="H73" s="56">
        <v>577732.72705922998</v>
      </c>
      <c r="I73" s="56">
        <v>33939.076246030003</v>
      </c>
      <c r="J73" s="56">
        <v>1353834.8377608601</v>
      </c>
      <c r="K73" s="56">
        <v>1447.22133316533</v>
      </c>
      <c r="L73" s="56">
        <v>69557.713588709506</v>
      </c>
      <c r="M73" s="57">
        <v>16.317741935483902</v>
      </c>
      <c r="N73" s="57">
        <v>31.739354838709701</v>
      </c>
      <c r="O73" s="58">
        <f t="shared" si="22"/>
        <v>43.545053763440862</v>
      </c>
      <c r="P73" s="58">
        <f t="shared" si="23"/>
        <v>33.825166336876727</v>
      </c>
      <c r="Q73" s="58">
        <f t="shared" si="24"/>
        <v>39.890149865797362</v>
      </c>
      <c r="R73" s="58">
        <f t="shared" si="25"/>
        <v>48.062941026839646</v>
      </c>
      <c r="S73" s="59">
        <f t="shared" si="26"/>
        <v>0.77678549946527642</v>
      </c>
      <c r="T73" s="59">
        <f t="shared" si="27"/>
        <v>0.91606615259912594</v>
      </c>
      <c r="U73" s="59">
        <f t="shared" si="28"/>
        <v>1.1037520194128654</v>
      </c>
      <c r="V73" s="60">
        <f t="shared" si="29"/>
        <v>22.95694498211277</v>
      </c>
      <c r="W73" s="60">
        <f t="shared" si="30"/>
        <v>45.617037965094092</v>
      </c>
      <c r="X73" s="60">
        <f t="shared" si="31"/>
        <v>1.945189963931895</v>
      </c>
      <c r="Y73" s="61">
        <f t="shared" si="32"/>
        <v>3.3602150537634407E-2</v>
      </c>
    </row>
    <row r="74" spans="1:25" ht="15" customHeight="1" x14ac:dyDescent="0.2">
      <c r="A74" s="55">
        <v>2021</v>
      </c>
      <c r="B74" s="55">
        <v>1</v>
      </c>
      <c r="C74" s="63">
        <v>44197</v>
      </c>
      <c r="D74" s="56">
        <v>744</v>
      </c>
      <c r="E74" s="56">
        <v>0</v>
      </c>
      <c r="F74" s="56">
        <v>39278.14</v>
      </c>
      <c r="G74" s="56">
        <v>17394.8129845086</v>
      </c>
      <c r="H74" s="56">
        <v>812241.71060295706</v>
      </c>
      <c r="I74" s="56">
        <v>29310.269472138301</v>
      </c>
      <c r="J74" s="56">
        <v>1434204.84082708</v>
      </c>
      <c r="K74" s="56">
        <v>1234.2860469427901</v>
      </c>
      <c r="L74" s="56">
        <v>68658.972278482106</v>
      </c>
      <c r="M74" s="57">
        <v>20.420967741935499</v>
      </c>
      <c r="N74" s="57">
        <v>34.000322580645197</v>
      </c>
      <c r="O74" s="58">
        <f t="shared" si="22"/>
        <v>52.793198924731179</v>
      </c>
      <c r="P74" s="58">
        <f t="shared" si="23"/>
        <v>46.694477907081833</v>
      </c>
      <c r="Q74" s="58">
        <f t="shared" si="24"/>
        <v>48.931820370686239</v>
      </c>
      <c r="R74" s="58">
        <f t="shared" si="25"/>
        <v>55.626467177964045</v>
      </c>
      <c r="S74" s="59">
        <f t="shared" si="26"/>
        <v>0.88447904006831501</v>
      </c>
      <c r="T74" s="59">
        <f t="shared" si="27"/>
        <v>0.92685840917595808</v>
      </c>
      <c r="U74" s="59">
        <f t="shared" si="28"/>
        <v>1.0536672963741474</v>
      </c>
      <c r="V74" s="60">
        <f t="shared" si="29"/>
        <v>23.380124979178227</v>
      </c>
      <c r="W74" s="60">
        <f t="shared" si="30"/>
        <v>39.395523484056859</v>
      </c>
      <c r="X74" s="60">
        <f t="shared" si="31"/>
        <v>1.658986622234933</v>
      </c>
      <c r="Y74" s="61">
        <f t="shared" si="32"/>
        <v>0</v>
      </c>
    </row>
    <row r="75" spans="1:25" ht="15" customHeight="1" x14ac:dyDescent="0.2">
      <c r="A75" s="55">
        <v>2021</v>
      </c>
      <c r="B75" s="55">
        <v>2</v>
      </c>
      <c r="C75" s="63">
        <v>44228</v>
      </c>
      <c r="D75" s="56">
        <v>672</v>
      </c>
      <c r="E75" s="56">
        <v>9</v>
      </c>
      <c r="F75" s="56">
        <v>32731.040000000001</v>
      </c>
      <c r="G75" s="56">
        <v>15763.135130800199</v>
      </c>
      <c r="H75" s="56">
        <v>693171.97329912905</v>
      </c>
      <c r="I75" s="56">
        <v>35404.787138666397</v>
      </c>
      <c r="J75" s="56">
        <v>1680224.1661120399</v>
      </c>
      <c r="K75" s="56">
        <v>3873.75391198647</v>
      </c>
      <c r="L75" s="56">
        <v>174205.66634990199</v>
      </c>
      <c r="M75" s="57">
        <v>17.387499999999999</v>
      </c>
      <c r="N75" s="57">
        <v>38.700714285714298</v>
      </c>
      <c r="O75" s="58">
        <f t="shared" si="22"/>
        <v>48.706904761904767</v>
      </c>
      <c r="P75" s="58">
        <f t="shared" si="23"/>
        <v>43.974245449733758</v>
      </c>
      <c r="Q75" s="58">
        <f t="shared" si="24"/>
        <v>47.457541815779699</v>
      </c>
      <c r="R75" s="58">
        <f t="shared" si="25"/>
        <v>44.970762291032813</v>
      </c>
      <c r="S75" s="59">
        <f t="shared" si="26"/>
        <v>0.90283391368624655</v>
      </c>
      <c r="T75" s="59">
        <f t="shared" si="27"/>
        <v>0.97434936684578166</v>
      </c>
      <c r="U75" s="59">
        <f t="shared" si="28"/>
        <v>0.9232933710500506</v>
      </c>
      <c r="V75" s="60">
        <f t="shared" si="29"/>
        <v>23.457046325595535</v>
      </c>
      <c r="W75" s="60">
        <f t="shared" si="30"/>
        <v>52.685695146824997</v>
      </c>
      <c r="X75" s="60">
        <f t="shared" si="31"/>
        <v>5.7645147499798659</v>
      </c>
      <c r="Y75" s="61">
        <f t="shared" si="32"/>
        <v>1.3392857142857142E-2</v>
      </c>
    </row>
    <row r="76" spans="1:25" ht="15" customHeight="1" x14ac:dyDescent="0.2">
      <c r="A76" s="55">
        <v>2021</v>
      </c>
      <c r="B76" s="55">
        <v>3</v>
      </c>
      <c r="C76" s="63">
        <v>44256</v>
      </c>
      <c r="D76" s="56">
        <v>744</v>
      </c>
      <c r="E76" s="56">
        <v>27</v>
      </c>
      <c r="F76" s="56">
        <v>35103.17</v>
      </c>
      <c r="G76" s="56">
        <v>16947.537138629999</v>
      </c>
      <c r="H76" s="56">
        <v>595197.13313519803</v>
      </c>
      <c r="I76" s="56">
        <v>30454.922084075901</v>
      </c>
      <c r="J76" s="56">
        <v>1210177.64004559</v>
      </c>
      <c r="K76" s="56">
        <v>8031.91037027122</v>
      </c>
      <c r="L76" s="56">
        <v>329884.32750982401</v>
      </c>
      <c r="M76" s="57">
        <v>17.791129032258102</v>
      </c>
      <c r="N76" s="57">
        <v>41.889032258064503</v>
      </c>
      <c r="O76" s="58">
        <f t="shared" si="22"/>
        <v>47.18168010752688</v>
      </c>
      <c r="P76" s="58">
        <f t="shared" si="23"/>
        <v>35.119978098676846</v>
      </c>
      <c r="Q76" s="58">
        <f t="shared" si="24"/>
        <v>39.736684819113719</v>
      </c>
      <c r="R76" s="58">
        <f t="shared" si="25"/>
        <v>41.071714237603544</v>
      </c>
      <c r="S76" s="59">
        <f t="shared" si="26"/>
        <v>0.74435624205493622</v>
      </c>
      <c r="T76" s="59">
        <f t="shared" si="27"/>
        <v>0.84220580378981746</v>
      </c>
      <c r="U76" s="59">
        <f t="shared" si="28"/>
        <v>0.87050130779576429</v>
      </c>
      <c r="V76" s="60">
        <f t="shared" si="29"/>
        <v>22.778947766975804</v>
      </c>
      <c r="W76" s="60">
        <f t="shared" si="30"/>
        <v>40.934035059241801</v>
      </c>
      <c r="X76" s="60">
        <f t="shared" si="31"/>
        <v>10.795578454665618</v>
      </c>
      <c r="Y76" s="61">
        <f t="shared" si="32"/>
        <v>3.6290322580645164E-2</v>
      </c>
    </row>
    <row r="77" spans="1:25" ht="15" customHeight="1" x14ac:dyDescent="0.2">
      <c r="A77" s="55">
        <v>2021</v>
      </c>
      <c r="B77" s="55">
        <v>4</v>
      </c>
      <c r="C77" s="63">
        <v>44287</v>
      </c>
      <c r="D77" s="56">
        <v>720</v>
      </c>
      <c r="E77" s="56">
        <v>22</v>
      </c>
      <c r="F77" s="56">
        <v>38633.15</v>
      </c>
      <c r="G77" s="56">
        <v>14430.015276620001</v>
      </c>
      <c r="H77" s="56">
        <v>649545.24020223599</v>
      </c>
      <c r="I77" s="56">
        <v>22916.726952445399</v>
      </c>
      <c r="J77" s="56">
        <v>1074979.7650030199</v>
      </c>
      <c r="K77" s="56">
        <v>10616.565246484701</v>
      </c>
      <c r="L77" s="56">
        <v>483406.877370017</v>
      </c>
      <c r="M77" s="57">
        <v>20.5833333333333</v>
      </c>
      <c r="N77" s="57">
        <v>45.874666666666698</v>
      </c>
      <c r="O77" s="58">
        <f t="shared" si="22"/>
        <v>53.657152777777782</v>
      </c>
      <c r="P77" s="58">
        <f t="shared" si="23"/>
        <v>45.013482505084468</v>
      </c>
      <c r="Q77" s="58">
        <f t="shared" si="24"/>
        <v>46.908084528550489</v>
      </c>
      <c r="R77" s="58">
        <f t="shared" si="25"/>
        <v>45.533264869264571</v>
      </c>
      <c r="S77" s="59">
        <f t="shared" si="26"/>
        <v>0.83890926325347048</v>
      </c>
      <c r="T77" s="59">
        <f t="shared" si="27"/>
        <v>0.87421866610815713</v>
      </c>
      <c r="U77" s="59">
        <f t="shared" si="28"/>
        <v>0.84859636622616819</v>
      </c>
      <c r="V77" s="60">
        <f t="shared" si="29"/>
        <v>20.041687884194445</v>
      </c>
      <c r="W77" s="60">
        <f t="shared" si="30"/>
        <v>31.828787433951941</v>
      </c>
      <c r="X77" s="60">
        <f t="shared" si="31"/>
        <v>14.74522950900653</v>
      </c>
      <c r="Y77" s="61">
        <f t="shared" si="32"/>
        <v>3.0555555555555555E-2</v>
      </c>
    </row>
    <row r="78" spans="1:25" ht="15" customHeight="1" x14ac:dyDescent="0.2">
      <c r="A78" s="55">
        <v>2021</v>
      </c>
      <c r="B78" s="55">
        <v>5</v>
      </c>
      <c r="C78" s="63">
        <v>44317</v>
      </c>
      <c r="D78" s="56">
        <v>744</v>
      </c>
      <c r="E78" s="56">
        <v>38</v>
      </c>
      <c r="F78" s="56">
        <v>39678.639999999999</v>
      </c>
      <c r="G78" s="56">
        <v>16351.3453346104</v>
      </c>
      <c r="H78" s="56">
        <v>708529.03042876103</v>
      </c>
      <c r="I78" s="56">
        <v>16631.637399643601</v>
      </c>
      <c r="J78" s="56">
        <v>693495.75608572003</v>
      </c>
      <c r="K78" s="56">
        <v>11459.229993581101</v>
      </c>
      <c r="L78" s="56">
        <v>481105.39204837102</v>
      </c>
      <c r="M78" s="57">
        <v>25.349193548387099</v>
      </c>
      <c r="N78" s="57">
        <v>53.521612903225801</v>
      </c>
      <c r="O78" s="58">
        <f t="shared" si="22"/>
        <v>53.331505376344083</v>
      </c>
      <c r="P78" s="58">
        <f t="shared" si="23"/>
        <v>43.33154342530085</v>
      </c>
      <c r="Q78" s="58">
        <f t="shared" si="24"/>
        <v>41.697383091130938</v>
      </c>
      <c r="R78" s="58">
        <f t="shared" si="25"/>
        <v>41.984094246983673</v>
      </c>
      <c r="S78" s="59">
        <f t="shared" si="26"/>
        <v>0.81249428681083413</v>
      </c>
      <c r="T78" s="59">
        <f t="shared" si="27"/>
        <v>0.78185273033051084</v>
      </c>
      <c r="U78" s="59">
        <f t="shared" si="28"/>
        <v>0.78722874876144577</v>
      </c>
      <c r="V78" s="60">
        <f t="shared" si="29"/>
        <v>21.977614697056989</v>
      </c>
      <c r="W78" s="60">
        <f t="shared" si="30"/>
        <v>22.354351343606989</v>
      </c>
      <c r="X78" s="60">
        <f t="shared" si="31"/>
        <v>15.4021908515875</v>
      </c>
      <c r="Y78" s="61">
        <f t="shared" si="32"/>
        <v>5.1075268817204304E-2</v>
      </c>
    </row>
    <row r="79" spans="1:25" ht="15" customHeight="1" x14ac:dyDescent="0.2">
      <c r="A79" s="55">
        <v>2021</v>
      </c>
      <c r="B79" s="55">
        <v>6</v>
      </c>
      <c r="C79" s="63">
        <v>44348</v>
      </c>
      <c r="D79" s="56">
        <v>720</v>
      </c>
      <c r="E79" s="56">
        <v>9</v>
      </c>
      <c r="F79" s="56">
        <v>53374.12</v>
      </c>
      <c r="G79" s="56">
        <v>6291.4122686494002</v>
      </c>
      <c r="H79" s="56">
        <v>404317.16924938298</v>
      </c>
      <c r="I79" s="56">
        <v>13484.390332503601</v>
      </c>
      <c r="J79" s="56">
        <v>936723.72782366094</v>
      </c>
      <c r="K79" s="56">
        <v>13847.9678981364</v>
      </c>
      <c r="L79" s="56">
        <v>950889.40249601204</v>
      </c>
      <c r="M79" s="57">
        <v>29.246666666666702</v>
      </c>
      <c r="N79" s="57">
        <v>53.905333333333303</v>
      </c>
      <c r="O79" s="58">
        <f t="shared" si="22"/>
        <v>74.130722222222232</v>
      </c>
      <c r="P79" s="58">
        <f t="shared" si="23"/>
        <v>64.264930032343784</v>
      </c>
      <c r="Q79" s="58">
        <f t="shared" si="24"/>
        <v>69.467265832977603</v>
      </c>
      <c r="R79" s="58">
        <f t="shared" si="25"/>
        <v>68.666349423295429</v>
      </c>
      <c r="S79" s="59">
        <f t="shared" si="26"/>
        <v>0.86691358327383228</v>
      </c>
      <c r="T79" s="59">
        <f t="shared" si="27"/>
        <v>0.93709144806029343</v>
      </c>
      <c r="U79" s="59">
        <f t="shared" si="28"/>
        <v>0.92628733897200932</v>
      </c>
      <c r="V79" s="60">
        <f t="shared" si="29"/>
        <v>8.7380725953463898</v>
      </c>
      <c r="W79" s="60">
        <f t="shared" si="30"/>
        <v>18.728319906255003</v>
      </c>
      <c r="X79" s="60">
        <f t="shared" si="31"/>
        <v>19.233288747411667</v>
      </c>
      <c r="Y79" s="61">
        <f t="shared" si="32"/>
        <v>1.2500000000000001E-2</v>
      </c>
    </row>
    <row r="80" spans="1:25" ht="15" customHeight="1" x14ac:dyDescent="0.2">
      <c r="A80" s="55">
        <v>2021</v>
      </c>
      <c r="B80" s="55">
        <v>7</v>
      </c>
      <c r="C80" s="63">
        <v>44378</v>
      </c>
      <c r="D80" s="56">
        <v>744</v>
      </c>
      <c r="E80" s="56">
        <v>11</v>
      </c>
      <c r="F80" s="56">
        <v>60483.4</v>
      </c>
      <c r="G80" s="56">
        <v>8672.6616252593794</v>
      </c>
      <c r="H80" s="56">
        <v>603078.56686281797</v>
      </c>
      <c r="I80" s="56">
        <v>16247.845214024001</v>
      </c>
      <c r="J80" s="56">
        <v>1195230.71766904</v>
      </c>
      <c r="K80" s="56">
        <v>12135.603479578</v>
      </c>
      <c r="L80" s="56">
        <v>899934.34250174102</v>
      </c>
      <c r="M80" s="57">
        <v>36.130645161290303</v>
      </c>
      <c r="N80" s="57">
        <v>54.5651612903226</v>
      </c>
      <c r="O80" s="58">
        <f t="shared" si="22"/>
        <v>81.294892473118281</v>
      </c>
      <c r="P80" s="58">
        <f t="shared" si="23"/>
        <v>69.537887320120277</v>
      </c>
      <c r="Q80" s="58">
        <f t="shared" si="24"/>
        <v>73.562414087832437</v>
      </c>
      <c r="R80" s="58">
        <f t="shared" si="25"/>
        <v>74.156538157839933</v>
      </c>
      <c r="S80" s="59">
        <f t="shared" si="26"/>
        <v>0.85537830489306954</v>
      </c>
      <c r="T80" s="59">
        <f t="shared" si="27"/>
        <v>0.90488358923849077</v>
      </c>
      <c r="U80" s="59">
        <f t="shared" si="28"/>
        <v>0.91219184750580995</v>
      </c>
      <c r="V80" s="60">
        <f t="shared" si="29"/>
        <v>11.656803259757231</v>
      </c>
      <c r="W80" s="60">
        <f t="shared" si="30"/>
        <v>21.838501631752688</v>
      </c>
      <c r="X80" s="60">
        <f t="shared" si="31"/>
        <v>16.311294999432796</v>
      </c>
      <c r="Y80" s="61">
        <f t="shared" si="32"/>
        <v>1.4784946236559141E-2</v>
      </c>
    </row>
    <row r="81" spans="1:25" ht="15" customHeight="1" x14ac:dyDescent="0.2">
      <c r="A81" s="55">
        <v>2021</v>
      </c>
      <c r="B81" s="55">
        <v>8</v>
      </c>
      <c r="C81" s="63">
        <v>44409</v>
      </c>
      <c r="D81" s="56">
        <v>744</v>
      </c>
      <c r="E81" s="56">
        <v>11</v>
      </c>
      <c r="F81" s="56">
        <v>61612.02</v>
      </c>
      <c r="G81" s="56">
        <v>11438.8776807257</v>
      </c>
      <c r="H81" s="56">
        <v>844222.76080237597</v>
      </c>
      <c r="I81" s="56">
        <v>24561.401582346702</v>
      </c>
      <c r="J81" s="56">
        <v>1884064.1828129201</v>
      </c>
      <c r="K81" s="56">
        <v>10257.2446254148</v>
      </c>
      <c r="L81" s="56">
        <v>788513.68107050098</v>
      </c>
      <c r="M81" s="57">
        <v>44.15</v>
      </c>
      <c r="N81" s="57">
        <v>57.485161290322601</v>
      </c>
      <c r="O81" s="58">
        <f t="shared" si="22"/>
        <v>82.811854838709678</v>
      </c>
      <c r="P81" s="58">
        <f t="shared" si="23"/>
        <v>73.802936298975894</v>
      </c>
      <c r="Q81" s="58">
        <f t="shared" si="24"/>
        <v>76.708333459564258</v>
      </c>
      <c r="R81" s="58">
        <f t="shared" si="25"/>
        <v>76.87383014311348</v>
      </c>
      <c r="S81" s="59">
        <f t="shared" si="26"/>
        <v>0.89121221161776654</v>
      </c>
      <c r="T81" s="59">
        <f t="shared" si="27"/>
        <v>0.9262965261310343</v>
      </c>
      <c r="U81" s="59">
        <f t="shared" si="28"/>
        <v>0.92829499221866818</v>
      </c>
      <c r="V81" s="60">
        <f t="shared" si="29"/>
        <v>15.374835592373252</v>
      </c>
      <c r="W81" s="60">
        <f t="shared" si="30"/>
        <v>33.012636535412234</v>
      </c>
      <c r="X81" s="60">
        <f t="shared" si="31"/>
        <v>13.786619120181182</v>
      </c>
      <c r="Y81" s="61">
        <f t="shared" si="32"/>
        <v>1.4784946236559141E-2</v>
      </c>
    </row>
    <row r="82" spans="1:25" ht="15" customHeight="1" x14ac:dyDescent="0.2">
      <c r="A82" s="55">
        <v>2021</v>
      </c>
      <c r="B82" s="55">
        <v>9</v>
      </c>
      <c r="C82" s="63">
        <v>44440</v>
      </c>
      <c r="D82" s="56">
        <v>720</v>
      </c>
      <c r="E82" s="56">
        <v>0</v>
      </c>
      <c r="F82" s="56">
        <v>92401.76</v>
      </c>
      <c r="G82" s="56">
        <v>8358.4657352782997</v>
      </c>
      <c r="H82" s="56">
        <v>987481.36823727598</v>
      </c>
      <c r="I82" s="56">
        <v>17601.265252086701</v>
      </c>
      <c r="J82" s="56">
        <v>2207592.1908967299</v>
      </c>
      <c r="K82" s="56">
        <v>9332.8833974430399</v>
      </c>
      <c r="L82" s="56">
        <v>1093400.8491104399</v>
      </c>
      <c r="M82" s="57">
        <v>63.615833333333299</v>
      </c>
      <c r="N82" s="57">
        <v>62.2693333333333</v>
      </c>
      <c r="O82" s="58">
        <f t="shared" si="22"/>
        <v>128.33577777777776</v>
      </c>
      <c r="P82" s="58">
        <f t="shared" si="23"/>
        <v>118.141462741116</v>
      </c>
      <c r="Q82" s="58">
        <f t="shared" si="24"/>
        <v>125.42235795435279</v>
      </c>
      <c r="R82" s="58">
        <f t="shared" si="25"/>
        <v>117.15573875164908</v>
      </c>
      <c r="S82" s="59">
        <f t="shared" si="26"/>
        <v>0.92056529197716075</v>
      </c>
      <c r="T82" s="59">
        <f t="shared" si="27"/>
        <v>0.97729845976022556</v>
      </c>
      <c r="U82" s="59">
        <f t="shared" si="28"/>
        <v>0.91288447212680091</v>
      </c>
      <c r="V82" s="60">
        <f t="shared" si="29"/>
        <v>11.608980187886527</v>
      </c>
      <c r="W82" s="60">
        <f t="shared" si="30"/>
        <v>24.446201739009307</v>
      </c>
      <c r="X82" s="60">
        <f t="shared" si="31"/>
        <v>12.962338052004222</v>
      </c>
      <c r="Y82" s="61">
        <f t="shared" si="32"/>
        <v>0</v>
      </c>
    </row>
    <row r="83" spans="1:25" ht="15" customHeight="1" x14ac:dyDescent="0.2">
      <c r="A83" s="55">
        <v>2021</v>
      </c>
      <c r="B83" s="55">
        <v>10</v>
      </c>
      <c r="C83" s="63">
        <v>44470</v>
      </c>
      <c r="D83" s="56">
        <v>744</v>
      </c>
      <c r="E83" s="56">
        <v>7</v>
      </c>
      <c r="F83" s="56">
        <v>103820.28</v>
      </c>
      <c r="G83" s="56">
        <v>18878.395333646899</v>
      </c>
      <c r="H83" s="56">
        <v>2112101.7609119401</v>
      </c>
      <c r="I83" s="56">
        <v>37671.756336595099</v>
      </c>
      <c r="J83" s="56">
        <v>4841402.1022469196</v>
      </c>
      <c r="K83" s="56">
        <v>6260.8906105991</v>
      </c>
      <c r="L83" s="56">
        <v>801573.47430424602</v>
      </c>
      <c r="M83" s="57">
        <v>85.388709677419399</v>
      </c>
      <c r="N83" s="57">
        <v>60.533548387096801</v>
      </c>
      <c r="O83" s="58">
        <f t="shared" si="22"/>
        <v>139.54338709677418</v>
      </c>
      <c r="P83" s="58">
        <f t="shared" si="23"/>
        <v>111.87930560748183</v>
      </c>
      <c r="Q83" s="58">
        <f t="shared" si="24"/>
        <v>128.51543365775819</v>
      </c>
      <c r="R83" s="58">
        <f t="shared" si="25"/>
        <v>128.02866623276526</v>
      </c>
      <c r="S83" s="59">
        <f t="shared" si="26"/>
        <v>0.80175283067977166</v>
      </c>
      <c r="T83" s="59">
        <f t="shared" si="27"/>
        <v>0.92097114977316674</v>
      </c>
      <c r="U83" s="59">
        <f t="shared" si="28"/>
        <v>0.91748286247327937</v>
      </c>
      <c r="V83" s="60">
        <f t="shared" si="29"/>
        <v>25.37418727640712</v>
      </c>
      <c r="W83" s="60">
        <f t="shared" si="30"/>
        <v>50.634081097574061</v>
      </c>
      <c r="X83" s="60">
        <f t="shared" si="31"/>
        <v>8.4151755518805107</v>
      </c>
      <c r="Y83" s="61">
        <f t="shared" si="32"/>
        <v>9.4086021505376347E-3</v>
      </c>
    </row>
    <row r="84" spans="1:25" ht="15" customHeight="1" x14ac:dyDescent="0.2">
      <c r="A84" s="55">
        <v>2021</v>
      </c>
      <c r="B84" s="55">
        <v>11</v>
      </c>
      <c r="C84" s="63">
        <v>44501</v>
      </c>
      <c r="D84" s="56">
        <v>720</v>
      </c>
      <c r="E84" s="56">
        <v>0</v>
      </c>
      <c r="F84" s="56">
        <v>126897.01</v>
      </c>
      <c r="G84" s="56">
        <v>14518.1287930328</v>
      </c>
      <c r="H84" s="56">
        <v>2073467.7557142</v>
      </c>
      <c r="I84" s="56">
        <v>32697.4077201279</v>
      </c>
      <c r="J84" s="56">
        <v>5209680.6580700902</v>
      </c>
      <c r="K84" s="56">
        <v>2165.2336507776399</v>
      </c>
      <c r="L84" s="56">
        <v>396221.94877780997</v>
      </c>
      <c r="M84" s="57">
        <v>81.738333333333301</v>
      </c>
      <c r="N84" s="57">
        <v>67.275333333333293</v>
      </c>
      <c r="O84" s="58">
        <f t="shared" si="22"/>
        <v>176.24584722222221</v>
      </c>
      <c r="P84" s="58">
        <f t="shared" si="23"/>
        <v>142.81921487769483</v>
      </c>
      <c r="Q84" s="58">
        <f t="shared" si="24"/>
        <v>159.33008214786122</v>
      </c>
      <c r="R84" s="58">
        <f t="shared" si="25"/>
        <v>182.9926985641977</v>
      </c>
      <c r="S84" s="59">
        <f t="shared" si="26"/>
        <v>0.81034087967825474</v>
      </c>
      <c r="T84" s="59">
        <f t="shared" si="27"/>
        <v>0.90402176652121347</v>
      </c>
      <c r="U84" s="59">
        <f t="shared" si="28"/>
        <v>1.0382809095834673</v>
      </c>
      <c r="V84" s="60">
        <f t="shared" si="29"/>
        <v>20.164067768101113</v>
      </c>
      <c r="W84" s="60">
        <f t="shared" si="30"/>
        <v>45.413066277955416</v>
      </c>
      <c r="X84" s="60">
        <f t="shared" si="31"/>
        <v>3.0072689594133886</v>
      </c>
      <c r="Y84" s="61">
        <f t="shared" si="32"/>
        <v>0</v>
      </c>
    </row>
    <row r="85" spans="1:25" ht="15" customHeight="1" x14ac:dyDescent="0.2">
      <c r="A85" s="55">
        <v>2021</v>
      </c>
      <c r="B85" s="55">
        <v>12</v>
      </c>
      <c r="C85" s="63">
        <v>44531</v>
      </c>
      <c r="D85" s="56">
        <v>744</v>
      </c>
      <c r="E85" s="56">
        <v>5</v>
      </c>
      <c r="F85" s="56">
        <v>164391.73000000001</v>
      </c>
      <c r="G85" s="56">
        <v>17978.449089480098</v>
      </c>
      <c r="H85" s="56">
        <v>2963624.76570107</v>
      </c>
      <c r="I85" s="56">
        <v>33037.077174925696</v>
      </c>
      <c r="J85" s="56">
        <v>6255295.4021995896</v>
      </c>
      <c r="K85" s="56">
        <v>1395.6530729814799</v>
      </c>
      <c r="L85" s="56">
        <v>378084.60555066599</v>
      </c>
      <c r="M85" s="57">
        <v>109.3</v>
      </c>
      <c r="N85" s="57">
        <v>80.642258064516099</v>
      </c>
      <c r="O85" s="58">
        <f t="shared" si="22"/>
        <v>220.95662634408603</v>
      </c>
      <c r="P85" s="58">
        <f t="shared" si="23"/>
        <v>164.84318257658856</v>
      </c>
      <c r="Q85" s="58">
        <f t="shared" si="24"/>
        <v>189.3416711496258</v>
      </c>
      <c r="R85" s="58">
        <f t="shared" si="25"/>
        <v>270.9015677821555</v>
      </c>
      <c r="S85" s="59">
        <f t="shared" si="26"/>
        <v>0.74604317283467902</v>
      </c>
      <c r="T85" s="59">
        <f t="shared" si="27"/>
        <v>0.85691782266250005</v>
      </c>
      <c r="U85" s="59">
        <f t="shared" si="28"/>
        <v>1.226039572853961</v>
      </c>
      <c r="V85" s="60">
        <f t="shared" si="29"/>
        <v>24.16458210951626</v>
      </c>
      <c r="W85" s="60">
        <f t="shared" si="30"/>
        <v>44.404673622211959</v>
      </c>
      <c r="X85" s="60">
        <f t="shared" si="31"/>
        <v>1.8758777862654299</v>
      </c>
      <c r="Y85" s="61">
        <f t="shared" si="32"/>
        <v>6.7204301075268818E-3</v>
      </c>
    </row>
    <row r="86" spans="1:25" ht="15" customHeight="1" x14ac:dyDescent="0.2">
      <c r="A86" s="55">
        <v>2022</v>
      </c>
      <c r="B86" s="55">
        <v>1</v>
      </c>
      <c r="C86" s="63">
        <v>44562</v>
      </c>
      <c r="D86" s="56">
        <v>744</v>
      </c>
      <c r="E86" s="56">
        <v>4</v>
      </c>
      <c r="F86" s="56">
        <v>124898.67</v>
      </c>
      <c r="G86" s="56">
        <v>24007.820607773901</v>
      </c>
      <c r="H86" s="56">
        <v>3177330.80964921</v>
      </c>
      <c r="I86" s="56">
        <v>40485.573527033303</v>
      </c>
      <c r="J86" s="56">
        <v>6029120.1532494603</v>
      </c>
      <c r="K86" s="56">
        <v>1864.9769309542701</v>
      </c>
      <c r="L86" s="56">
        <v>335392.155949426</v>
      </c>
      <c r="M86" s="57">
        <v>83.779032258064504</v>
      </c>
      <c r="N86" s="57">
        <v>85.382258064516094</v>
      </c>
      <c r="O86" s="58">
        <f t="shared" si="22"/>
        <v>167.8745564516129</v>
      </c>
      <c r="P86" s="58">
        <f t="shared" si="23"/>
        <v>132.34565775705471</v>
      </c>
      <c r="Q86" s="58">
        <f t="shared" si="24"/>
        <v>148.92021102834704</v>
      </c>
      <c r="R86" s="58">
        <f t="shared" si="25"/>
        <v>179.83716065475019</v>
      </c>
      <c r="S86" s="59">
        <f t="shared" si="26"/>
        <v>0.78836043147015655</v>
      </c>
      <c r="T86" s="59">
        <f t="shared" si="27"/>
        <v>0.8870922084685946</v>
      </c>
      <c r="U86" s="59">
        <f t="shared" si="28"/>
        <v>1.0712591857634204</v>
      </c>
      <c r="V86" s="60">
        <f t="shared" si="29"/>
        <v>32.268576085717612</v>
      </c>
      <c r="W86" s="60">
        <f t="shared" si="30"/>
        <v>54.416093450313582</v>
      </c>
      <c r="X86" s="60">
        <f t="shared" si="31"/>
        <v>2.5066894233256316</v>
      </c>
      <c r="Y86" s="61">
        <f t="shared" si="32"/>
        <v>5.3763440860215058E-3</v>
      </c>
    </row>
    <row r="87" spans="1:25" ht="15" customHeight="1" x14ac:dyDescent="0.2">
      <c r="A87" s="55">
        <v>2022</v>
      </c>
      <c r="B87" s="55">
        <v>2</v>
      </c>
      <c r="C87" s="63">
        <v>44593</v>
      </c>
      <c r="D87" s="56">
        <v>672</v>
      </c>
      <c r="E87" s="56">
        <v>4</v>
      </c>
      <c r="F87" s="56">
        <v>86538.42</v>
      </c>
      <c r="G87" s="56">
        <v>32861.992336122799</v>
      </c>
      <c r="H87" s="56">
        <v>3630516.7978008301</v>
      </c>
      <c r="I87" s="56">
        <v>38571.841313706398</v>
      </c>
      <c r="J87" s="56">
        <v>4772324.9184721</v>
      </c>
      <c r="K87" s="56">
        <v>4339.7062987086401</v>
      </c>
      <c r="L87" s="56">
        <v>515223.061107888</v>
      </c>
      <c r="M87" s="57">
        <v>80.450892857142904</v>
      </c>
      <c r="N87" s="57">
        <v>92.740357142857206</v>
      </c>
      <c r="O87" s="58">
        <f t="shared" si="22"/>
        <v>128.77741071428571</v>
      </c>
      <c r="P87" s="58">
        <f t="shared" si="23"/>
        <v>110.47768378334344</v>
      </c>
      <c r="Q87" s="58">
        <f t="shared" si="24"/>
        <v>123.72561837685119</v>
      </c>
      <c r="R87" s="58">
        <f t="shared" si="25"/>
        <v>118.72302539487572</v>
      </c>
      <c r="S87" s="59">
        <f t="shared" si="26"/>
        <v>0.8578964522625534</v>
      </c>
      <c r="T87" s="59">
        <f t="shared" si="27"/>
        <v>0.9607711297391841</v>
      </c>
      <c r="U87" s="59">
        <f t="shared" si="28"/>
        <v>0.92192430905667666</v>
      </c>
      <c r="V87" s="60">
        <f t="shared" si="29"/>
        <v>48.901774309706546</v>
      </c>
      <c r="W87" s="60">
        <f t="shared" si="30"/>
        <v>57.398573383491666</v>
      </c>
      <c r="X87" s="60">
        <f t="shared" si="31"/>
        <v>6.4578962778402387</v>
      </c>
      <c r="Y87" s="61">
        <f t="shared" si="32"/>
        <v>5.9523809523809521E-3</v>
      </c>
    </row>
    <row r="88" spans="1:25" ht="15" customHeight="1" x14ac:dyDescent="0.2">
      <c r="A88" s="55">
        <v>2022</v>
      </c>
      <c r="B88" s="55">
        <v>3</v>
      </c>
      <c r="C88" s="63">
        <v>44621</v>
      </c>
      <c r="D88" s="56">
        <v>744</v>
      </c>
      <c r="E88" s="56">
        <v>6</v>
      </c>
      <c r="F88" s="56">
        <v>187309.28</v>
      </c>
      <c r="G88" s="56">
        <v>12502.823360218599</v>
      </c>
      <c r="H88" s="56">
        <v>2571746.5509725902</v>
      </c>
      <c r="I88" s="56">
        <v>18138.799091786099</v>
      </c>
      <c r="J88" s="56">
        <v>4017266.50478213</v>
      </c>
      <c r="K88" s="56">
        <v>10681.5403958836</v>
      </c>
      <c r="L88" s="56">
        <v>2217127.4865260301</v>
      </c>
      <c r="M88" s="57">
        <v>126.67016129032299</v>
      </c>
      <c r="N88" s="57">
        <v>76.359677419354796</v>
      </c>
      <c r="O88" s="58">
        <f t="shared" si="22"/>
        <v>251.75978494623655</v>
      </c>
      <c r="P88" s="58">
        <f t="shared" si="23"/>
        <v>205.69326438341571</v>
      </c>
      <c r="Q88" s="58">
        <f t="shared" si="24"/>
        <v>221.47367554235126</v>
      </c>
      <c r="R88" s="58">
        <f t="shared" si="25"/>
        <v>207.56626894192678</v>
      </c>
      <c r="S88" s="59">
        <f t="shared" si="26"/>
        <v>0.81702192598925849</v>
      </c>
      <c r="T88" s="59">
        <f t="shared" si="27"/>
        <v>0.87970235432814292</v>
      </c>
      <c r="U88" s="59">
        <f t="shared" si="28"/>
        <v>0.82446157549051247</v>
      </c>
      <c r="V88" s="60">
        <f t="shared" si="29"/>
        <v>16.804870107820697</v>
      </c>
      <c r="W88" s="60">
        <f t="shared" si="30"/>
        <v>24.380106306164112</v>
      </c>
      <c r="X88" s="60">
        <f t="shared" si="31"/>
        <v>14.356909134252151</v>
      </c>
      <c r="Y88" s="61">
        <f t="shared" si="32"/>
        <v>8.0645161290322578E-3</v>
      </c>
    </row>
    <row r="89" spans="1:25" ht="15" customHeight="1" x14ac:dyDescent="0.2">
      <c r="A89" s="55">
        <v>2022</v>
      </c>
      <c r="B89" s="55">
        <v>4</v>
      </c>
      <c r="C89" s="63">
        <v>44652</v>
      </c>
      <c r="D89" s="56">
        <v>720</v>
      </c>
      <c r="E89" s="56">
        <v>5</v>
      </c>
      <c r="F89" s="56">
        <v>119521.31</v>
      </c>
      <c r="G89" s="56">
        <v>17467.2465555657</v>
      </c>
      <c r="H89" s="56">
        <v>2292880.6505677002</v>
      </c>
      <c r="I89" s="56">
        <v>24649.863426874501</v>
      </c>
      <c r="J89" s="56">
        <v>3472649.94442512</v>
      </c>
      <c r="K89" s="56">
        <v>10863.562436603699</v>
      </c>
      <c r="L89" s="56">
        <v>1586019.84578406</v>
      </c>
      <c r="M89" s="57">
        <v>102.89166666666701</v>
      </c>
      <c r="N89" s="57">
        <v>83.551000000000002</v>
      </c>
      <c r="O89" s="58">
        <f t="shared" si="22"/>
        <v>166.00181944444444</v>
      </c>
      <c r="P89" s="58">
        <f t="shared" si="23"/>
        <v>131.26743492591882</v>
      </c>
      <c r="Q89" s="58">
        <f t="shared" si="24"/>
        <v>140.87907443085729</v>
      </c>
      <c r="R89" s="58">
        <f t="shared" si="25"/>
        <v>145.99445209981241</v>
      </c>
      <c r="S89" s="59">
        <f t="shared" si="26"/>
        <v>0.79075901315557495</v>
      </c>
      <c r="T89" s="59">
        <f t="shared" si="27"/>
        <v>0.84865982133409723</v>
      </c>
      <c r="U89" s="59">
        <f t="shared" si="28"/>
        <v>0.87947501171017062</v>
      </c>
      <c r="V89" s="60">
        <f t="shared" si="29"/>
        <v>24.260064660507915</v>
      </c>
      <c r="W89" s="60">
        <f t="shared" si="30"/>
        <v>34.235921426214581</v>
      </c>
      <c r="X89" s="60">
        <f t="shared" si="31"/>
        <v>15.088281161949583</v>
      </c>
      <c r="Y89" s="61">
        <f t="shared" si="32"/>
        <v>6.9444444444444441E-3</v>
      </c>
    </row>
    <row r="90" spans="1:25" ht="15" customHeight="1" x14ac:dyDescent="0.2">
      <c r="A90" s="55">
        <v>2022</v>
      </c>
      <c r="B90" s="55">
        <v>5</v>
      </c>
      <c r="C90" s="63">
        <v>44682</v>
      </c>
      <c r="D90" s="56">
        <v>744</v>
      </c>
      <c r="E90" s="56">
        <v>16</v>
      </c>
      <c r="F90" s="56">
        <v>132064.6</v>
      </c>
      <c r="G90" s="56">
        <v>11841.8840522676</v>
      </c>
      <c r="H90" s="56">
        <v>1660937.1776989801</v>
      </c>
      <c r="I90" s="56">
        <v>19123.234638623799</v>
      </c>
      <c r="J90" s="56">
        <v>2847579.4246941102</v>
      </c>
      <c r="K90" s="56">
        <v>14302.8158050535</v>
      </c>
      <c r="L90" s="56">
        <v>2169470.7932870998</v>
      </c>
      <c r="M90" s="57">
        <v>89.608064516129005</v>
      </c>
      <c r="N90" s="57">
        <v>88.733548387096803</v>
      </c>
      <c r="O90" s="58">
        <f t="shared" si="22"/>
        <v>177.50618279569892</v>
      </c>
      <c r="P90" s="58">
        <f t="shared" si="23"/>
        <v>140.25953728038129</v>
      </c>
      <c r="Q90" s="58">
        <f t="shared" si="24"/>
        <v>148.90678687499678</v>
      </c>
      <c r="R90" s="58">
        <f t="shared" si="25"/>
        <v>151.68137679019665</v>
      </c>
      <c r="S90" s="59">
        <f t="shared" si="26"/>
        <v>0.79016705261367304</v>
      </c>
      <c r="T90" s="59">
        <f t="shared" si="27"/>
        <v>0.83888225485858903</v>
      </c>
      <c r="U90" s="59">
        <f t="shared" si="28"/>
        <v>0.85451320287121846</v>
      </c>
      <c r="V90" s="60">
        <f t="shared" si="29"/>
        <v>15.916510822940323</v>
      </c>
      <c r="W90" s="60">
        <f t="shared" si="30"/>
        <v>25.703272363741664</v>
      </c>
      <c r="X90" s="60">
        <f t="shared" si="31"/>
        <v>19.224214791738575</v>
      </c>
      <c r="Y90" s="61">
        <f t="shared" si="32"/>
        <v>2.1505376344086023E-2</v>
      </c>
    </row>
    <row r="91" spans="1:25" ht="15" customHeight="1" x14ac:dyDescent="0.2">
      <c r="A91" s="55">
        <v>2022</v>
      </c>
      <c r="B91" s="55">
        <v>6</v>
      </c>
      <c r="C91" s="63">
        <v>44713</v>
      </c>
      <c r="D91" s="56">
        <v>720</v>
      </c>
      <c r="E91" s="56">
        <v>3</v>
      </c>
      <c r="F91" s="56">
        <v>157091.04999999999</v>
      </c>
      <c r="G91" s="56">
        <v>8137.5035896496702</v>
      </c>
      <c r="H91" s="56">
        <v>1620178.2700619299</v>
      </c>
      <c r="I91" s="56">
        <v>15040.8614855002</v>
      </c>
      <c r="J91" s="56">
        <v>2977698.5028113001</v>
      </c>
      <c r="K91" s="56">
        <v>15030.2048977423</v>
      </c>
      <c r="L91" s="56">
        <v>2852765.6651937901</v>
      </c>
      <c r="M91" s="57">
        <v>105.02</v>
      </c>
      <c r="N91" s="57">
        <v>86.987333333333297</v>
      </c>
      <c r="O91" s="58">
        <f t="shared" si="22"/>
        <v>218.18201388888886</v>
      </c>
      <c r="P91" s="58">
        <f t="shared" si="23"/>
        <v>199.10016041316189</v>
      </c>
      <c r="Q91" s="58">
        <f t="shared" si="24"/>
        <v>197.97393292145418</v>
      </c>
      <c r="R91" s="58">
        <f t="shared" si="25"/>
        <v>189.80218064906796</v>
      </c>
      <c r="S91" s="59">
        <f t="shared" si="26"/>
        <v>0.91254158335230795</v>
      </c>
      <c r="T91" s="59">
        <f t="shared" si="27"/>
        <v>0.90737971197879841</v>
      </c>
      <c r="U91" s="59">
        <f t="shared" si="28"/>
        <v>0.86992588099276791</v>
      </c>
      <c r="V91" s="60">
        <f t="shared" si="29"/>
        <v>11.302088318957875</v>
      </c>
      <c r="W91" s="60">
        <f t="shared" si="30"/>
        <v>20.890085396528054</v>
      </c>
      <c r="X91" s="60">
        <f t="shared" si="31"/>
        <v>20.87528458019764</v>
      </c>
      <c r="Y91" s="61">
        <f t="shared" si="32"/>
        <v>4.1666666666666666E-3</v>
      </c>
    </row>
    <row r="92" spans="1:25" ht="15" customHeight="1" x14ac:dyDescent="0.2">
      <c r="A92" s="55">
        <v>2022</v>
      </c>
      <c r="B92" s="55">
        <v>7</v>
      </c>
      <c r="C92" s="63">
        <v>44743</v>
      </c>
      <c r="D92" s="56">
        <v>744</v>
      </c>
      <c r="E92" s="56">
        <v>2</v>
      </c>
      <c r="F92" s="56">
        <v>234555.29</v>
      </c>
      <c r="G92" s="56">
        <v>10158.519670145</v>
      </c>
      <c r="H92" s="56">
        <v>2879556.31572751</v>
      </c>
      <c r="I92" s="56">
        <v>22939.036996693401</v>
      </c>
      <c r="J92" s="56">
        <v>6761046.6499214303</v>
      </c>
      <c r="K92" s="56">
        <v>15358.8898242867</v>
      </c>
      <c r="L92" s="56">
        <v>4009890.14345513</v>
      </c>
      <c r="M92" s="57">
        <v>169.38225806451601</v>
      </c>
      <c r="N92" s="57">
        <v>84.322258064516106</v>
      </c>
      <c r="O92" s="58">
        <f t="shared" si="22"/>
        <v>315.2624865591398</v>
      </c>
      <c r="P92" s="58">
        <f t="shared" si="23"/>
        <v>283.46219815769751</v>
      </c>
      <c r="Q92" s="58">
        <f t="shared" si="24"/>
        <v>294.73977704016158</v>
      </c>
      <c r="R92" s="58">
        <f t="shared" si="25"/>
        <v>261.07942626910261</v>
      </c>
      <c r="S92" s="59">
        <f t="shared" si="26"/>
        <v>0.89913075688604993</v>
      </c>
      <c r="T92" s="59">
        <f t="shared" si="27"/>
        <v>0.93490278611017563</v>
      </c>
      <c r="U92" s="59">
        <f t="shared" si="28"/>
        <v>0.82813349954380622</v>
      </c>
      <c r="V92" s="60">
        <f t="shared" si="29"/>
        <v>13.653924287829302</v>
      </c>
      <c r="W92" s="60">
        <f t="shared" si="30"/>
        <v>30.83203897405027</v>
      </c>
      <c r="X92" s="60">
        <f t="shared" si="31"/>
        <v>20.643669118664921</v>
      </c>
      <c r="Y92" s="61">
        <f t="shared" si="32"/>
        <v>2.6881720430107529E-3</v>
      </c>
    </row>
    <row r="93" spans="1:25" ht="15" customHeight="1" x14ac:dyDescent="0.2">
      <c r="A93" s="55">
        <v>2022</v>
      </c>
      <c r="B93" s="55">
        <v>8</v>
      </c>
      <c r="C93" s="63">
        <v>44774</v>
      </c>
      <c r="D93" s="56">
        <v>744</v>
      </c>
      <c r="E93" s="56">
        <v>0</v>
      </c>
      <c r="F93" s="56">
        <v>346342.54</v>
      </c>
      <c r="G93" s="56">
        <v>6543.7783238866195</v>
      </c>
      <c r="H93" s="56">
        <v>3026800.4872303801</v>
      </c>
      <c r="I93" s="56">
        <v>13036.871772665399</v>
      </c>
      <c r="J93" s="56">
        <v>6217569.4763456704</v>
      </c>
      <c r="K93" s="56">
        <v>14159.933922218201</v>
      </c>
      <c r="L93" s="56">
        <v>5656173.33665994</v>
      </c>
      <c r="M93" s="57">
        <v>226.61048387096801</v>
      </c>
      <c r="N93" s="57">
        <v>91.144516129032297</v>
      </c>
      <c r="O93" s="58">
        <f t="shared" si="22"/>
        <v>465.51416666666665</v>
      </c>
      <c r="P93" s="58">
        <f t="shared" si="23"/>
        <v>462.54630542445369</v>
      </c>
      <c r="Q93" s="58">
        <f t="shared" si="24"/>
        <v>476.92188622903689</v>
      </c>
      <c r="R93" s="58">
        <f t="shared" si="25"/>
        <v>399.4491335715133</v>
      </c>
      <c r="S93" s="59">
        <f t="shared" si="26"/>
        <v>0.99362455225914081</v>
      </c>
      <c r="T93" s="59">
        <f t="shared" si="27"/>
        <v>1.0245056335106957</v>
      </c>
      <c r="U93" s="59">
        <f t="shared" si="28"/>
        <v>0.85808158413692381</v>
      </c>
      <c r="V93" s="60">
        <f t="shared" si="29"/>
        <v>8.7954009729658864</v>
      </c>
      <c r="W93" s="60">
        <f t="shared" si="30"/>
        <v>17.522677113797581</v>
      </c>
      <c r="X93" s="60">
        <f t="shared" si="31"/>
        <v>19.032169250293279</v>
      </c>
      <c r="Y93" s="61">
        <f t="shared" si="32"/>
        <v>0</v>
      </c>
    </row>
    <row r="94" spans="1:25" ht="15" customHeight="1" x14ac:dyDescent="0.2">
      <c r="A94" s="55">
        <v>2022</v>
      </c>
      <c r="B94" s="55">
        <v>9</v>
      </c>
      <c r="C94" s="63">
        <v>44805</v>
      </c>
      <c r="D94" s="56">
        <v>720</v>
      </c>
      <c r="E94" s="56">
        <v>0</v>
      </c>
      <c r="F94" s="56">
        <v>248355.76</v>
      </c>
      <c r="G94" s="56">
        <v>11498.9316036072</v>
      </c>
      <c r="H94" s="56">
        <v>3298849.2437055302</v>
      </c>
      <c r="I94" s="56">
        <v>24741.060738610999</v>
      </c>
      <c r="J94" s="56">
        <v>7547658.3918514503</v>
      </c>
      <c r="K94" s="56">
        <v>9329.1014228485001</v>
      </c>
      <c r="L94" s="56">
        <v>2956937.8449661098</v>
      </c>
      <c r="M94" s="57">
        <v>185.0025</v>
      </c>
      <c r="N94" s="57">
        <v>73.379000000000005</v>
      </c>
      <c r="O94" s="58">
        <f t="shared" si="22"/>
        <v>344.93855555555558</v>
      </c>
      <c r="P94" s="58">
        <f t="shared" si="23"/>
        <v>286.88310857251167</v>
      </c>
      <c r="Q94" s="58">
        <f t="shared" si="24"/>
        <v>305.06607908174868</v>
      </c>
      <c r="R94" s="58">
        <f t="shared" si="25"/>
        <v>316.95848409623716</v>
      </c>
      <c r="S94" s="59">
        <f t="shared" si="26"/>
        <v>0.8316933666938443</v>
      </c>
      <c r="T94" s="59">
        <f t="shared" si="27"/>
        <v>0.88440701733214899</v>
      </c>
      <c r="U94" s="59">
        <f t="shared" si="28"/>
        <v>0.91888389683126626</v>
      </c>
      <c r="V94" s="60">
        <f t="shared" si="29"/>
        <v>15.970738338343333</v>
      </c>
      <c r="W94" s="60">
        <f t="shared" si="30"/>
        <v>34.362584359181945</v>
      </c>
      <c r="X94" s="60">
        <f t="shared" si="31"/>
        <v>12.957085309511806</v>
      </c>
      <c r="Y94" s="61">
        <f t="shared" si="32"/>
        <v>0</v>
      </c>
    </row>
    <row r="95" spans="1:25" ht="15" customHeight="1" x14ac:dyDescent="0.2">
      <c r="A95" s="55">
        <v>2022</v>
      </c>
      <c r="B95" s="55">
        <v>10</v>
      </c>
      <c r="C95" s="63">
        <v>44835</v>
      </c>
      <c r="D95" s="56">
        <v>744</v>
      </c>
      <c r="E95" s="56">
        <v>0</v>
      </c>
      <c r="F95" s="56">
        <v>113642.54</v>
      </c>
      <c r="G95" s="56">
        <v>15772.2324335629</v>
      </c>
      <c r="H95" s="56">
        <v>2043173.60377884</v>
      </c>
      <c r="I95" s="56">
        <v>31791.793675884001</v>
      </c>
      <c r="J95" s="56">
        <v>4493988.2688826704</v>
      </c>
      <c r="K95" s="56">
        <v>6917.9349758294102</v>
      </c>
      <c r="L95" s="56">
        <v>893028.65210224001</v>
      </c>
      <c r="M95" s="57">
        <v>69.196774193548407</v>
      </c>
      <c r="N95" s="57">
        <v>73.403548387096805</v>
      </c>
      <c r="O95" s="58">
        <f t="shared" si="22"/>
        <v>152.7453494623656</v>
      </c>
      <c r="P95" s="58">
        <f t="shared" si="23"/>
        <v>129.54244824791067</v>
      </c>
      <c r="Q95" s="58">
        <f t="shared" si="24"/>
        <v>141.35686443799591</v>
      </c>
      <c r="R95" s="58">
        <f t="shared" si="25"/>
        <v>129.08890517508405</v>
      </c>
      <c r="S95" s="59">
        <f t="shared" si="26"/>
        <v>0.84809422155159098</v>
      </c>
      <c r="T95" s="59">
        <f t="shared" si="27"/>
        <v>0.92544136325947091</v>
      </c>
      <c r="U95" s="59">
        <f t="shared" si="28"/>
        <v>0.84512494573125985</v>
      </c>
      <c r="V95" s="60">
        <f t="shared" si="29"/>
        <v>21.199237141885618</v>
      </c>
      <c r="W95" s="60">
        <f t="shared" si="30"/>
        <v>42.730905478338713</v>
      </c>
      <c r="X95" s="60">
        <f t="shared" si="31"/>
        <v>9.2982996986954429</v>
      </c>
      <c r="Y95" s="61">
        <f t="shared" si="32"/>
        <v>0</v>
      </c>
    </row>
    <row r="96" spans="1:25" ht="15" customHeight="1" x14ac:dyDescent="0.2">
      <c r="A96" s="55">
        <v>2022</v>
      </c>
      <c r="B96" s="55">
        <v>11</v>
      </c>
      <c r="C96" s="63">
        <v>44866</v>
      </c>
      <c r="D96" s="56">
        <v>720</v>
      </c>
      <c r="E96" s="56">
        <v>0</v>
      </c>
      <c r="F96" s="56">
        <v>125228.16</v>
      </c>
      <c r="G96" s="56">
        <v>18619.288071447601</v>
      </c>
      <c r="H96" s="56">
        <v>2587119.6333176498</v>
      </c>
      <c r="I96" s="56">
        <v>36355.489562723102</v>
      </c>
      <c r="J96" s="56">
        <v>5523941.0944426702</v>
      </c>
      <c r="K96" s="56">
        <v>3311.2098455394798</v>
      </c>
      <c r="L96" s="56">
        <v>508946.778584535</v>
      </c>
      <c r="M96" s="57">
        <v>95.253333333333302</v>
      </c>
      <c r="N96" s="57">
        <v>79.312666666666701</v>
      </c>
      <c r="O96" s="58">
        <f t="shared" si="22"/>
        <v>173.928</v>
      </c>
      <c r="P96" s="58">
        <f t="shared" si="23"/>
        <v>138.94836491009337</v>
      </c>
      <c r="Q96" s="58">
        <f t="shared" si="24"/>
        <v>151.94242082512383</v>
      </c>
      <c r="R96" s="58">
        <f t="shared" si="25"/>
        <v>153.7041753092561</v>
      </c>
      <c r="S96" s="59">
        <f t="shared" si="26"/>
        <v>0.7988843941751379</v>
      </c>
      <c r="T96" s="59">
        <f t="shared" si="27"/>
        <v>0.87359379067846366</v>
      </c>
      <c r="U96" s="59">
        <f t="shared" si="28"/>
        <v>0.88372300784954749</v>
      </c>
      <c r="V96" s="60">
        <f t="shared" si="29"/>
        <v>25.860122321455002</v>
      </c>
      <c r="W96" s="60">
        <f t="shared" si="30"/>
        <v>50.493735503782084</v>
      </c>
      <c r="X96" s="60">
        <f t="shared" si="31"/>
        <v>4.5989025632492773</v>
      </c>
      <c r="Y96" s="61">
        <f t="shared" si="32"/>
        <v>0</v>
      </c>
    </row>
    <row r="97" spans="1:25" ht="15" customHeight="1" x14ac:dyDescent="0.2">
      <c r="A97" s="55">
        <v>2022</v>
      </c>
      <c r="B97" s="55">
        <v>12</v>
      </c>
      <c r="C97" s="63">
        <v>44896</v>
      </c>
      <c r="D97" s="56">
        <v>744</v>
      </c>
      <c r="E97" s="56">
        <v>30</v>
      </c>
      <c r="F97" s="56">
        <v>186905.37</v>
      </c>
      <c r="G97" s="56">
        <v>17373.521492657601</v>
      </c>
      <c r="H97" s="56">
        <v>2662688.5847785599</v>
      </c>
      <c r="I97" s="56">
        <v>34595.466707523199</v>
      </c>
      <c r="J97" s="56">
        <v>7430315.4984854497</v>
      </c>
      <c r="K97" s="56">
        <v>1276.1766819882</v>
      </c>
      <c r="L97" s="56">
        <v>315499.57319695299</v>
      </c>
      <c r="M97" s="57">
        <v>114.88225806451599</v>
      </c>
      <c r="N97" s="57">
        <v>89.320322580645197</v>
      </c>
      <c r="O97" s="58">
        <f t="shared" si="22"/>
        <v>251.21689516129032</v>
      </c>
      <c r="P97" s="58">
        <f t="shared" si="23"/>
        <v>153.26130548167023</v>
      </c>
      <c r="Q97" s="58">
        <f t="shared" si="24"/>
        <v>214.77714295062938</v>
      </c>
      <c r="R97" s="58">
        <f t="shared" si="25"/>
        <v>247.22248701913691</v>
      </c>
      <c r="S97" s="59">
        <f t="shared" si="26"/>
        <v>0.61007562959995565</v>
      </c>
      <c r="T97" s="59">
        <f t="shared" si="27"/>
        <v>0.85494704809855526</v>
      </c>
      <c r="U97" s="59">
        <f t="shared" si="28"/>
        <v>0.984099763116693</v>
      </c>
      <c r="V97" s="60">
        <f t="shared" si="29"/>
        <v>23.351507382604304</v>
      </c>
      <c r="W97" s="60">
        <f t="shared" si="30"/>
        <v>46.499283209036555</v>
      </c>
      <c r="X97" s="60">
        <f t="shared" si="31"/>
        <v>1.7152912392314517</v>
      </c>
      <c r="Y97" s="61">
        <f t="shared" si="32"/>
        <v>4.0322580645161289E-2</v>
      </c>
    </row>
    <row r="98" spans="1:25" ht="15" customHeight="1" x14ac:dyDescent="0.2">
      <c r="A98" s="55">
        <v>2023</v>
      </c>
      <c r="B98" s="55">
        <v>1</v>
      </c>
      <c r="C98" s="63">
        <v>44927</v>
      </c>
      <c r="D98" s="56">
        <v>744</v>
      </c>
      <c r="E98" s="56">
        <v>13</v>
      </c>
      <c r="F98" s="56">
        <v>87750.12</v>
      </c>
      <c r="G98" s="56">
        <v>27299.591654354299</v>
      </c>
      <c r="H98" s="56">
        <v>2460987.3536157799</v>
      </c>
      <c r="I98" s="56">
        <v>35255.7348569444</v>
      </c>
      <c r="J98" s="56">
        <v>3599583.3945126301</v>
      </c>
      <c r="K98" s="56">
        <v>1661.0966802268999</v>
      </c>
      <c r="L98" s="56">
        <v>204166.08762093299</v>
      </c>
      <c r="M98" s="57">
        <v>63.3774193548387</v>
      </c>
      <c r="N98" s="57">
        <v>83.023548387096795</v>
      </c>
      <c r="O98" s="58">
        <f t="shared" si="22"/>
        <v>117.94370967741935</v>
      </c>
      <c r="P98" s="58">
        <f t="shared" si="23"/>
        <v>90.147405308286039</v>
      </c>
      <c r="Q98" s="58">
        <f t="shared" si="24"/>
        <v>102.0992303555293</v>
      </c>
      <c r="R98" s="58">
        <f t="shared" si="25"/>
        <v>122.91041819013486</v>
      </c>
      <c r="S98" s="59">
        <f t="shared" si="26"/>
        <v>0.76432567327959</v>
      </c>
      <c r="T98" s="59">
        <f t="shared" si="27"/>
        <v>0.86566066672631103</v>
      </c>
      <c r="U98" s="59">
        <f t="shared" si="28"/>
        <v>1.0421108385203386</v>
      </c>
      <c r="V98" s="60">
        <f t="shared" si="29"/>
        <v>36.692999535422445</v>
      </c>
      <c r="W98" s="60">
        <f t="shared" si="30"/>
        <v>47.386740399118814</v>
      </c>
      <c r="X98" s="60">
        <f t="shared" si="31"/>
        <v>2.2326568282619621</v>
      </c>
      <c r="Y98" s="61">
        <f t="shared" si="32"/>
        <v>1.7473118279569891E-2</v>
      </c>
    </row>
    <row r="99" spans="1:25" ht="15" customHeight="1" x14ac:dyDescent="0.2">
      <c r="A99" s="55">
        <v>2023</v>
      </c>
      <c r="B99" s="55">
        <v>2</v>
      </c>
      <c r="C99" s="63">
        <v>44958</v>
      </c>
      <c r="D99" s="56">
        <v>672</v>
      </c>
      <c r="E99" s="56">
        <v>0</v>
      </c>
      <c r="F99" s="56">
        <v>86278.7</v>
      </c>
      <c r="G99" s="56">
        <v>19102.255607384199</v>
      </c>
      <c r="H99" s="56">
        <v>2039679.5577948401</v>
      </c>
      <c r="I99" s="56">
        <v>20997.116875694701</v>
      </c>
      <c r="J99" s="56">
        <v>2474711.3115153899</v>
      </c>
      <c r="K99" s="56">
        <v>4234.38328572914</v>
      </c>
      <c r="L99" s="56">
        <v>519821.47460053</v>
      </c>
      <c r="M99" s="57">
        <v>53.532142857142901</v>
      </c>
      <c r="N99" s="57">
        <v>95</v>
      </c>
      <c r="O99" s="58">
        <f t="shared" si="22"/>
        <v>128.39092261904761</v>
      </c>
      <c r="P99" s="58">
        <f t="shared" si="23"/>
        <v>106.77689586597188</v>
      </c>
      <c r="Q99" s="58">
        <f t="shared" si="24"/>
        <v>117.85957692029625</v>
      </c>
      <c r="R99" s="58">
        <f t="shared" si="25"/>
        <v>122.76202684637683</v>
      </c>
      <c r="S99" s="59">
        <f t="shared" si="26"/>
        <v>0.83165455694085688</v>
      </c>
      <c r="T99" s="59">
        <f t="shared" si="27"/>
        <v>0.91797437479284094</v>
      </c>
      <c r="U99" s="59">
        <f t="shared" si="28"/>
        <v>0.95615814842788815</v>
      </c>
      <c r="V99" s="60">
        <f t="shared" si="29"/>
        <v>28.425975606226487</v>
      </c>
      <c r="W99" s="60">
        <f t="shared" si="30"/>
        <v>31.245709636450449</v>
      </c>
      <c r="X99" s="60">
        <f t="shared" si="31"/>
        <v>6.301165603763601</v>
      </c>
      <c r="Y99" s="61">
        <f t="shared" si="32"/>
        <v>0</v>
      </c>
    </row>
    <row r="100" spans="1:25" ht="15" customHeight="1" x14ac:dyDescent="0.2">
      <c r="A100" s="55">
        <v>2023</v>
      </c>
      <c r="B100" s="55">
        <v>3</v>
      </c>
      <c r="C100" s="63">
        <v>44986</v>
      </c>
      <c r="D100" s="56">
        <v>23</v>
      </c>
      <c r="E100" s="56">
        <v>0</v>
      </c>
      <c r="F100" s="56">
        <v>3298.16</v>
      </c>
      <c r="G100" s="56">
        <v>0</v>
      </c>
      <c r="H100" s="56">
        <v>0</v>
      </c>
      <c r="I100" s="56">
        <v>0</v>
      </c>
      <c r="J100" s="56">
        <v>0</v>
      </c>
      <c r="K100" s="56">
        <v>0</v>
      </c>
      <c r="L100" s="56">
        <v>0</v>
      </c>
      <c r="M100" s="57">
        <v>49.6</v>
      </c>
      <c r="N100" s="57">
        <v>96.92</v>
      </c>
      <c r="O100" s="58">
        <f t="shared" si="22"/>
        <v>143.39826086956521</v>
      </c>
      <c r="P100" s="58" t="str">
        <f t="shared" si="23"/>
        <v/>
      </c>
      <c r="Q100" s="58" t="str">
        <f t="shared" si="24"/>
        <v/>
      </c>
      <c r="R100" s="58" t="str">
        <f t="shared" si="25"/>
        <v/>
      </c>
      <c r="S100" s="59" t="str">
        <f t="shared" si="26"/>
        <v/>
      </c>
      <c r="T100" s="59" t="str">
        <f t="shared" si="27"/>
        <v/>
      </c>
      <c r="U100" s="59" t="str">
        <f t="shared" si="28"/>
        <v/>
      </c>
      <c r="V100" s="60">
        <f t="shared" si="29"/>
        <v>0</v>
      </c>
      <c r="W100" s="60">
        <f t="shared" si="30"/>
        <v>0</v>
      </c>
      <c r="X100" s="60">
        <f t="shared" si="31"/>
        <v>0</v>
      </c>
      <c r="Y100" s="61">
        <f t="shared" si="32"/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88A6"/>
  </sheetPr>
  <dimension ref="A1:P10"/>
  <sheetViews>
    <sheetView zoomScale="183" zoomScaleNormal="183" workbookViewId="0">
      <pane xSplit="1" ySplit="1" topLeftCell="C2" activePane="bottomRight" state="frozen"/>
      <selection pane="topRight" activeCell="C1" sqref="C1"/>
      <selection pane="bottomLeft" activeCell="A2" sqref="A2"/>
      <selection pane="bottomRight" activeCell="I26" sqref="I26"/>
    </sheetView>
  </sheetViews>
  <sheetFormatPr baseColWidth="10" defaultColWidth="8.6640625" defaultRowHeight="15" x14ac:dyDescent="0.2"/>
  <cols>
    <col min="1" max="1" width="7" customWidth="1"/>
    <col min="2" max="16" width="16" customWidth="1"/>
  </cols>
  <sheetData>
    <row r="1" spans="1:16" ht="69.75" customHeight="1" x14ac:dyDescent="0.2">
      <c r="A1" s="53" t="s">
        <v>334</v>
      </c>
      <c r="B1" s="53" t="s">
        <v>368</v>
      </c>
      <c r="C1" s="53" t="s">
        <v>369</v>
      </c>
      <c r="D1" s="53" t="s">
        <v>370</v>
      </c>
      <c r="E1" s="53" t="s">
        <v>371</v>
      </c>
      <c r="F1" s="53" t="s">
        <v>372</v>
      </c>
      <c r="G1" s="53" t="s">
        <v>373</v>
      </c>
      <c r="H1" s="53" t="s">
        <v>374</v>
      </c>
      <c r="I1" s="53" t="s">
        <v>375</v>
      </c>
      <c r="J1" s="54" t="s">
        <v>376</v>
      </c>
      <c r="K1" s="54" t="s">
        <v>377</v>
      </c>
      <c r="L1" s="54" t="s">
        <v>378</v>
      </c>
      <c r="M1" s="54" t="s">
        <v>379</v>
      </c>
      <c r="N1" s="54" t="s">
        <v>380</v>
      </c>
      <c r="O1" s="54" t="s">
        <v>381</v>
      </c>
      <c r="P1" s="54" t="s">
        <v>382</v>
      </c>
    </row>
    <row r="2" spans="1:16" ht="15" customHeight="1" x14ac:dyDescent="0.2">
      <c r="A2" s="55">
        <v>2015</v>
      </c>
      <c r="B2" s="56">
        <v>8555</v>
      </c>
      <c r="C2" s="56">
        <v>276815.34999999998</v>
      </c>
      <c r="D2" s="56">
        <v>186188.574990689</v>
      </c>
      <c r="E2" s="56">
        <v>5242257.0749727804</v>
      </c>
      <c r="F2" s="56">
        <v>266422.44394775201</v>
      </c>
      <c r="G2" s="56">
        <v>8073386.0132239098</v>
      </c>
      <c r="H2" s="56">
        <v>90251.082857297195</v>
      </c>
      <c r="I2" s="56">
        <v>2833390.5802052901</v>
      </c>
      <c r="J2" s="58">
        <f t="shared" ref="J2:J10" si="0">IFERROR(C2/B2,"")</f>
        <v>32.357142022209231</v>
      </c>
      <c r="K2" s="58">
        <f t="shared" ref="K2:K10" si="1">IFERROR(E2/D2,"")</f>
        <v>28.155632402444336</v>
      </c>
      <c r="L2" s="58">
        <f t="shared" ref="L2:L10" si="2">IFERROR(G2/F2,"")</f>
        <v>30.302950057793097</v>
      </c>
      <c r="M2" s="58">
        <f t="shared" ref="M2:M10" si="3">IFERROR(I2/H2,"")</f>
        <v>31.394532791206263</v>
      </c>
      <c r="N2" s="59">
        <f t="shared" ref="N2:N10" si="4">IFERROR(K2/J2,"")</f>
        <v>0.87015201723066049</v>
      </c>
      <c r="O2" s="59">
        <f t="shared" ref="O2:O10" si="5">IFERROR(L2/J2,"")</f>
        <v>0.93651503698916971</v>
      </c>
      <c r="P2" s="59">
        <f t="shared" ref="P2:P10" si="6">IFERROR(M2/J2,"")</f>
        <v>0.97025048657442448</v>
      </c>
    </row>
    <row r="3" spans="1:16" ht="15" customHeight="1" x14ac:dyDescent="0.2">
      <c r="A3" s="55">
        <v>2016</v>
      </c>
      <c r="B3" s="56">
        <v>8687</v>
      </c>
      <c r="C3" s="56">
        <v>256306.87</v>
      </c>
      <c r="D3" s="56">
        <v>171991.25335505101</v>
      </c>
      <c r="E3" s="56">
        <v>4453660.2211800804</v>
      </c>
      <c r="F3" s="56">
        <v>313368.06011444499</v>
      </c>
      <c r="G3" s="56">
        <v>8627959.4521506391</v>
      </c>
      <c r="H3" s="56">
        <v>87508.808660275594</v>
      </c>
      <c r="I3" s="56">
        <v>2416328.1810015999</v>
      </c>
      <c r="J3" s="58">
        <f t="shared" si="0"/>
        <v>29.504647173938068</v>
      </c>
      <c r="K3" s="58">
        <f t="shared" si="1"/>
        <v>25.894690190937467</v>
      </c>
      <c r="L3" s="58">
        <f t="shared" si="2"/>
        <v>27.532989319331481</v>
      </c>
      <c r="M3" s="58">
        <f t="shared" si="3"/>
        <v>27.612399460061283</v>
      </c>
      <c r="N3" s="59">
        <f t="shared" si="4"/>
        <v>0.87764785114294352</v>
      </c>
      <c r="O3" s="59">
        <f t="shared" si="5"/>
        <v>0.93317466760462797</v>
      </c>
      <c r="P3" s="59">
        <f t="shared" si="6"/>
        <v>0.93586611279499599</v>
      </c>
    </row>
    <row r="4" spans="1:16" ht="15" customHeight="1" x14ac:dyDescent="0.2">
      <c r="A4" s="55">
        <v>2017</v>
      </c>
      <c r="B4" s="56">
        <v>8613</v>
      </c>
      <c r="C4" s="56">
        <v>303335.02</v>
      </c>
      <c r="D4" s="56">
        <v>193540.00639365701</v>
      </c>
      <c r="E4" s="56">
        <v>5784391.4550765604</v>
      </c>
      <c r="F4" s="56">
        <v>388136.19373183098</v>
      </c>
      <c r="G4" s="56">
        <v>12407903.3999677</v>
      </c>
      <c r="H4" s="56">
        <v>89303.012001870797</v>
      </c>
      <c r="I4" s="56">
        <v>2942789.00841751</v>
      </c>
      <c r="J4" s="58">
        <f t="shared" si="0"/>
        <v>35.218277023104612</v>
      </c>
      <c r="K4" s="58">
        <f t="shared" si="1"/>
        <v>29.887316647655826</v>
      </c>
      <c r="L4" s="58">
        <f t="shared" si="2"/>
        <v>31.967911265035241</v>
      </c>
      <c r="M4" s="58">
        <f t="shared" si="3"/>
        <v>32.952852792421623</v>
      </c>
      <c r="N4" s="59">
        <f t="shared" si="4"/>
        <v>0.84863085800729376</v>
      </c>
      <c r="O4" s="59">
        <f t="shared" si="5"/>
        <v>0.90770798480751913</v>
      </c>
      <c r="P4" s="59">
        <f t="shared" si="6"/>
        <v>0.93567475691111246</v>
      </c>
    </row>
    <row r="5" spans="1:16" ht="15" customHeight="1" x14ac:dyDescent="0.2">
      <c r="A5" s="55">
        <v>2018</v>
      </c>
      <c r="B5" s="56">
        <v>8627</v>
      </c>
      <c r="C5" s="56">
        <v>391416.53</v>
      </c>
      <c r="D5" s="56">
        <v>185418.49480708901</v>
      </c>
      <c r="E5" s="56">
        <v>7339245.99002402</v>
      </c>
      <c r="F5" s="56">
        <v>343209.51642744499</v>
      </c>
      <c r="G5" s="56">
        <v>14485940.0139309</v>
      </c>
      <c r="H5" s="56">
        <v>99655.850816224207</v>
      </c>
      <c r="I5" s="56">
        <v>4463479.8415604196</v>
      </c>
      <c r="J5" s="58">
        <f t="shared" si="0"/>
        <v>45.371105830532052</v>
      </c>
      <c r="K5" s="58">
        <f t="shared" si="1"/>
        <v>39.582060018661217</v>
      </c>
      <c r="L5" s="58">
        <f t="shared" si="2"/>
        <v>42.20727957872127</v>
      </c>
      <c r="M5" s="58">
        <f t="shared" si="3"/>
        <v>44.788939184228553</v>
      </c>
      <c r="N5" s="59">
        <f t="shared" si="4"/>
        <v>0.8724067728590571</v>
      </c>
      <c r="O5" s="59">
        <f t="shared" si="5"/>
        <v>0.93026781706339379</v>
      </c>
      <c r="P5" s="59">
        <f t="shared" si="6"/>
        <v>0.98716877987329688</v>
      </c>
    </row>
    <row r="6" spans="1:16" ht="15" customHeight="1" x14ac:dyDescent="0.2">
      <c r="A6" s="55">
        <v>2019</v>
      </c>
      <c r="B6" s="56">
        <v>8549</v>
      </c>
      <c r="C6" s="56">
        <v>333617.78000000003</v>
      </c>
      <c r="D6" s="56">
        <v>185379.37395780301</v>
      </c>
      <c r="E6" s="56">
        <v>6533546.2620956004</v>
      </c>
      <c r="F6" s="56">
        <v>359261.85414647002</v>
      </c>
      <c r="G6" s="56">
        <v>13197961.5621161</v>
      </c>
      <c r="H6" s="56">
        <v>95515.679488264504</v>
      </c>
      <c r="I6" s="56">
        <v>3532187.30230847</v>
      </c>
      <c r="J6" s="58">
        <f t="shared" si="0"/>
        <v>39.024187624283542</v>
      </c>
      <c r="K6" s="58">
        <f t="shared" si="1"/>
        <v>35.244192072753464</v>
      </c>
      <c r="L6" s="58">
        <f t="shared" si="2"/>
        <v>36.736328696715262</v>
      </c>
      <c r="M6" s="58">
        <f t="shared" si="3"/>
        <v>36.980182952501018</v>
      </c>
      <c r="N6" s="59">
        <f t="shared" si="4"/>
        <v>0.90313711106754968</v>
      </c>
      <c r="O6" s="59">
        <f t="shared" si="5"/>
        <v>0.94137331058380269</v>
      </c>
      <c r="P6" s="59">
        <f t="shared" si="6"/>
        <v>0.94762210833286886</v>
      </c>
    </row>
    <row r="7" spans="1:16" ht="15" customHeight="1" x14ac:dyDescent="0.2">
      <c r="A7" s="55">
        <v>2020</v>
      </c>
      <c r="B7" s="56">
        <v>8486</v>
      </c>
      <c r="C7" s="56">
        <v>272284.93</v>
      </c>
      <c r="D7" s="56">
        <v>181146.54289481</v>
      </c>
      <c r="E7" s="56">
        <v>5014723.6108856499</v>
      </c>
      <c r="F7" s="56">
        <v>338193.87254578201</v>
      </c>
      <c r="G7" s="56">
        <v>10044862.0104426</v>
      </c>
      <c r="H7" s="56">
        <v>90582.223683641801</v>
      </c>
      <c r="I7" s="56">
        <v>2543177.5689235199</v>
      </c>
      <c r="J7" s="58">
        <f t="shared" si="0"/>
        <v>32.086369314164507</v>
      </c>
      <c r="K7" s="58">
        <f t="shared" si="1"/>
        <v>27.683242146098532</v>
      </c>
      <c r="L7" s="58">
        <f t="shared" si="2"/>
        <v>29.701490257138843</v>
      </c>
      <c r="M7" s="58">
        <f t="shared" si="3"/>
        <v>28.075901269608501</v>
      </c>
      <c r="N7" s="59">
        <f t="shared" si="4"/>
        <v>0.86277265822898142</v>
      </c>
      <c r="O7" s="59">
        <f t="shared" si="5"/>
        <v>0.92567314071359075</v>
      </c>
      <c r="P7" s="59">
        <f t="shared" si="6"/>
        <v>0.87501022614030721</v>
      </c>
    </row>
    <row r="8" spans="1:16" ht="15" customHeight="1" x14ac:dyDescent="0.2">
      <c r="A8" s="55">
        <v>2021</v>
      </c>
      <c r="B8" s="56">
        <v>8621</v>
      </c>
      <c r="C8" s="56">
        <v>850678.14</v>
      </c>
      <c r="D8" s="56">
        <v>160820.21167937401</v>
      </c>
      <c r="E8" s="56">
        <v>13541540.3208708</v>
      </c>
      <c r="F8" s="56">
        <v>302982.44397673098</v>
      </c>
      <c r="G8" s="56">
        <v>28733870.569899201</v>
      </c>
      <c r="H8" s="56">
        <v>86822.796734622898</v>
      </c>
      <c r="I8" s="56">
        <v>6927261.2639333103</v>
      </c>
      <c r="J8" s="58">
        <f t="shared" si="0"/>
        <v>98.675111935970307</v>
      </c>
      <c r="K8" s="58">
        <f t="shared" si="1"/>
        <v>84.202975356533301</v>
      </c>
      <c r="L8" s="58">
        <f t="shared" si="2"/>
        <v>94.836750911237488</v>
      </c>
      <c r="M8" s="58">
        <f t="shared" si="3"/>
        <v>79.78620275394654</v>
      </c>
      <c r="N8" s="59">
        <f t="shared" si="4"/>
        <v>0.85333549366705674</v>
      </c>
      <c r="O8" s="59">
        <f t="shared" si="5"/>
        <v>0.96110102183391988</v>
      </c>
      <c r="P8" s="59">
        <f t="shared" si="6"/>
        <v>0.80857473772838817</v>
      </c>
    </row>
    <row r="9" spans="1:16" ht="15" customHeight="1" x14ac:dyDescent="0.2">
      <c r="A9" s="55">
        <v>2022</v>
      </c>
      <c r="B9" s="56">
        <v>8690</v>
      </c>
      <c r="C9" s="56">
        <v>2062601.81</v>
      </c>
      <c r="D9" s="56">
        <v>183615.709709077</v>
      </c>
      <c r="E9" s="56">
        <v>31457504.223897301</v>
      </c>
      <c r="F9" s="56">
        <v>315765.53422415099</v>
      </c>
      <c r="G9" s="56">
        <v>62097914.464039601</v>
      </c>
      <c r="H9" s="56">
        <v>105758.163527143</v>
      </c>
      <c r="I9" s="56">
        <v>24022204.4013566</v>
      </c>
      <c r="J9" s="58">
        <f t="shared" si="0"/>
        <v>237.35348791714614</v>
      </c>
      <c r="K9" s="58">
        <f t="shared" si="1"/>
        <v>171.32250978818186</v>
      </c>
      <c r="L9" s="58">
        <f t="shared" si="2"/>
        <v>196.65830413257973</v>
      </c>
      <c r="M9" s="58">
        <f t="shared" si="3"/>
        <v>227.1427906857636</v>
      </c>
      <c r="N9" s="59">
        <f t="shared" si="4"/>
        <v>0.72180321128453795</v>
      </c>
      <c r="O9" s="59">
        <f t="shared" si="5"/>
        <v>0.82854608903505123</v>
      </c>
      <c r="P9" s="59">
        <f t="shared" si="6"/>
        <v>0.9569810525179776</v>
      </c>
    </row>
    <row r="10" spans="1:16" ht="15" customHeight="1" x14ac:dyDescent="0.2">
      <c r="A10" s="55">
        <v>2023</v>
      </c>
      <c r="B10" s="56">
        <v>1426</v>
      </c>
      <c r="C10" s="56">
        <v>177356.54</v>
      </c>
      <c r="D10" s="56">
        <v>45792.247951263998</v>
      </c>
      <c r="E10" s="56">
        <v>4502098.6552901501</v>
      </c>
      <c r="F10" s="56">
        <v>55662.966153324698</v>
      </c>
      <c r="G10" s="56">
        <v>6075601.7634171601</v>
      </c>
      <c r="H10" s="56">
        <v>5823.6637418955697</v>
      </c>
      <c r="I10" s="56">
        <v>724047.32557668502</v>
      </c>
      <c r="J10" s="58">
        <f t="shared" si="0"/>
        <v>124.37345021037869</v>
      </c>
      <c r="K10" s="58">
        <f t="shared" si="1"/>
        <v>98.315738071685544</v>
      </c>
      <c r="L10" s="58">
        <f t="shared" si="2"/>
        <v>109.14980252187424</v>
      </c>
      <c r="M10" s="58">
        <f t="shared" si="3"/>
        <v>124.3284910781974</v>
      </c>
      <c r="N10" s="59">
        <f t="shared" si="4"/>
        <v>0.7904881460262112</v>
      </c>
      <c r="O10" s="59">
        <f t="shared" si="5"/>
        <v>0.87759728734103992</v>
      </c>
      <c r="P10" s="59">
        <f t="shared" si="6"/>
        <v>0.99963851503592416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88A6"/>
  </sheetPr>
  <dimension ref="A1:J10"/>
  <sheetViews>
    <sheetView zoomScale="125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10" defaultColWidth="8.6640625" defaultRowHeight="15" x14ac:dyDescent="0.2"/>
  <cols>
    <col min="1" max="1" width="7" customWidth="1"/>
    <col min="2" max="10" width="17" customWidth="1"/>
  </cols>
  <sheetData>
    <row r="1" spans="1:10" ht="55.5" customHeight="1" x14ac:dyDescent="0.2">
      <c r="A1" s="53" t="s">
        <v>334</v>
      </c>
      <c r="B1" s="53" t="s">
        <v>383</v>
      </c>
      <c r="C1" s="53" t="s">
        <v>384</v>
      </c>
      <c r="D1" s="53" t="s">
        <v>385</v>
      </c>
      <c r="E1" s="53" t="s">
        <v>386</v>
      </c>
      <c r="F1" s="53" t="s">
        <v>387</v>
      </c>
      <c r="G1" s="53" t="s">
        <v>388</v>
      </c>
      <c r="H1" s="53" t="s">
        <v>389</v>
      </c>
      <c r="I1" s="53" t="s">
        <v>390</v>
      </c>
      <c r="J1" s="53" t="s">
        <v>391</v>
      </c>
    </row>
    <row r="2" spans="1:10" ht="15" customHeight="1" x14ac:dyDescent="0.2">
      <c r="A2" s="55">
        <v>2015</v>
      </c>
      <c r="B2" s="64">
        <v>26.9130376482983</v>
      </c>
      <c r="C2" s="64">
        <v>26.9130371893175</v>
      </c>
      <c r="D2" s="64">
        <v>4.5898083911311E-7</v>
      </c>
      <c r="E2" s="64">
        <v>29.538485990317799</v>
      </c>
      <c r="F2" s="64">
        <v>29.593128182498202</v>
      </c>
      <c r="G2" s="64">
        <v>-5.4642192180345703E-2</v>
      </c>
      <c r="H2" s="64">
        <v>30.881051668022302</v>
      </c>
      <c r="I2" s="64">
        <v>30.881051668022302</v>
      </c>
      <c r="J2" s="64">
        <v>-3.5527136788005001E-15</v>
      </c>
    </row>
    <row r="3" spans="1:10" ht="15" customHeight="1" x14ac:dyDescent="0.2">
      <c r="A3" s="55">
        <v>2016</v>
      </c>
      <c r="B3" s="64">
        <v>24.4719585063952</v>
      </c>
      <c r="C3" s="64">
        <v>24.515224675738398</v>
      </c>
      <c r="D3" s="64">
        <v>-4.3266169343162603E-2</v>
      </c>
      <c r="E3" s="64">
        <v>26.653935404072001</v>
      </c>
      <c r="F3" s="64">
        <v>26.873995287500101</v>
      </c>
      <c r="G3" s="64">
        <v>-0.22005988342810701</v>
      </c>
      <c r="H3" s="64">
        <v>26.747588729586202</v>
      </c>
      <c r="I3" s="64">
        <v>26.764101300351602</v>
      </c>
      <c r="J3" s="64">
        <v>-1.6512570765431899E-2</v>
      </c>
    </row>
    <row r="4" spans="1:10" ht="15" customHeight="1" x14ac:dyDescent="0.2">
      <c r="A4" s="55">
        <v>2017</v>
      </c>
      <c r="B4" s="64">
        <v>27.529038305644999</v>
      </c>
      <c r="C4" s="64">
        <v>27.481860847116302</v>
      </c>
      <c r="D4" s="64">
        <v>4.7177458528715001E-2</v>
      </c>
      <c r="E4" s="64">
        <v>30.5148701127974</v>
      </c>
      <c r="F4" s="64">
        <v>30.205872735167699</v>
      </c>
      <c r="G4" s="64">
        <v>0.30899737762968399</v>
      </c>
      <c r="H4" s="64">
        <v>31.6262258927303</v>
      </c>
      <c r="I4" s="64">
        <v>31.633219634638898</v>
      </c>
      <c r="J4" s="64">
        <v>-6.9937419085945897E-3</v>
      </c>
    </row>
    <row r="5" spans="1:10" ht="15" customHeight="1" x14ac:dyDescent="0.2">
      <c r="A5" s="55">
        <v>2018</v>
      </c>
      <c r="B5" s="64">
        <v>37.357557109053403</v>
      </c>
      <c r="C5" s="64">
        <v>37.4518845900296</v>
      </c>
      <c r="D5" s="64">
        <v>-9.4327480976197406E-2</v>
      </c>
      <c r="E5" s="64">
        <v>41.008327287780503</v>
      </c>
      <c r="F5" s="64">
        <v>41.555024063276001</v>
      </c>
      <c r="G5" s="64">
        <v>-0.54669677549549101</v>
      </c>
      <c r="H5" s="64">
        <v>43.839506464098697</v>
      </c>
      <c r="I5" s="64">
        <v>43.851262632371501</v>
      </c>
      <c r="J5" s="64">
        <v>-1.17561682728109E-2</v>
      </c>
    </row>
    <row r="6" spans="1:10" ht="15" customHeight="1" x14ac:dyDescent="0.2">
      <c r="A6" s="55">
        <v>2019</v>
      </c>
      <c r="B6" s="64">
        <v>32.364351879166101</v>
      </c>
      <c r="C6" s="64">
        <v>32.346749495318399</v>
      </c>
      <c r="D6" s="64">
        <v>1.7602383847780401E-2</v>
      </c>
      <c r="E6" s="64">
        <v>34.897697500875402</v>
      </c>
      <c r="F6" s="64">
        <v>34.753408514722402</v>
      </c>
      <c r="G6" s="64">
        <v>0.14428898615302899</v>
      </c>
      <c r="H6" s="64">
        <v>34.913854389791901</v>
      </c>
      <c r="I6" s="64">
        <v>34.934801854007603</v>
      </c>
      <c r="J6" s="64">
        <v>-2.09474642156664E-2</v>
      </c>
    </row>
    <row r="7" spans="1:10" ht="15" customHeight="1" x14ac:dyDescent="0.2">
      <c r="A7" s="55">
        <v>2020</v>
      </c>
      <c r="B7" s="64">
        <v>24.636674076530301</v>
      </c>
      <c r="C7" s="64">
        <v>24.636674076530301</v>
      </c>
      <c r="D7" s="64">
        <v>-3.5527136788005001E-15</v>
      </c>
      <c r="E7" s="64">
        <v>27.7723495910788</v>
      </c>
      <c r="F7" s="64">
        <v>27.842084113260501</v>
      </c>
      <c r="G7" s="64">
        <v>-6.9734522181658307E-2</v>
      </c>
      <c r="H7" s="64">
        <v>24.599707273465</v>
      </c>
      <c r="I7" s="64">
        <v>24.599707273465</v>
      </c>
      <c r="J7" s="64">
        <v>-3.5527136788005001E-15</v>
      </c>
    </row>
    <row r="8" spans="1:10" ht="15" customHeight="1" x14ac:dyDescent="0.2">
      <c r="A8" s="55">
        <v>2021</v>
      </c>
      <c r="B8" s="64">
        <v>80.509631627833002</v>
      </c>
      <c r="C8" s="64">
        <v>80.539359116207194</v>
      </c>
      <c r="D8" s="64">
        <v>-2.9727488374149399E-2</v>
      </c>
      <c r="E8" s="64">
        <v>92.326683906880604</v>
      </c>
      <c r="F8" s="64">
        <v>92.335519911869696</v>
      </c>
      <c r="G8" s="64">
        <v>-8.8360049890639E-3</v>
      </c>
      <c r="H8" s="64">
        <v>75.552225930528493</v>
      </c>
      <c r="I8" s="64">
        <v>75.559445638584293</v>
      </c>
      <c r="J8" s="64">
        <v>-7.2197080557288001E-3</v>
      </c>
    </row>
    <row r="9" spans="1:10" ht="15" customHeight="1" x14ac:dyDescent="0.2">
      <c r="A9" s="55">
        <v>2022</v>
      </c>
      <c r="B9" s="64">
        <v>168.38443581983699</v>
      </c>
      <c r="C9" s="64">
        <v>168.38443581983699</v>
      </c>
      <c r="D9" s="64">
        <v>-2.8421709430404001E-14</v>
      </c>
      <c r="E9" s="64">
        <v>194.35683988064099</v>
      </c>
      <c r="F9" s="64">
        <v>194.35683988064201</v>
      </c>
      <c r="G9" s="64">
        <v>-8.5265128291211997E-14</v>
      </c>
      <c r="H9" s="64">
        <v>223.54204727698399</v>
      </c>
      <c r="I9" s="64">
        <v>223.54204727698399</v>
      </c>
      <c r="J9" s="64">
        <v>-2.8421709430404001E-14</v>
      </c>
    </row>
    <row r="10" spans="1:10" ht="15" customHeight="1" x14ac:dyDescent="0.2">
      <c r="A10" s="55">
        <v>2023</v>
      </c>
      <c r="B10" s="64">
        <v>96.993270246844602</v>
      </c>
      <c r="C10" s="64">
        <v>96.993270246844602</v>
      </c>
      <c r="D10" s="64">
        <v>-1.4210854715202001E-14</v>
      </c>
      <c r="E10" s="64">
        <v>107.981987027043</v>
      </c>
      <c r="F10" s="64">
        <v>107.981987027043</v>
      </c>
      <c r="G10" s="64">
        <v>0</v>
      </c>
      <c r="H10" s="64">
        <v>122.803837245176</v>
      </c>
      <c r="I10" s="64">
        <v>122.803837245176</v>
      </c>
      <c r="J10" s="64">
        <v>-1.4210854715202001E-14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9"/>
  <sheetViews>
    <sheetView zoomScaleNormal="100" workbookViewId="0">
      <pane xSplit="3" ySplit="1" topLeftCell="D19" activePane="bottomRight" state="frozen"/>
      <selection pane="topRight" activeCell="D1" sqref="D1"/>
      <selection pane="bottomLeft" activeCell="A19" sqref="A19"/>
      <selection pane="bottomRight"/>
    </sheetView>
  </sheetViews>
  <sheetFormatPr baseColWidth="10" defaultColWidth="8.6640625" defaultRowHeight="15" x14ac:dyDescent="0.2"/>
  <cols>
    <col min="1" max="1" width="12" customWidth="1"/>
    <col min="2" max="3" width="6" customWidth="1"/>
    <col min="4" max="4" width="14" customWidth="1"/>
    <col min="5" max="5" width="18" customWidth="1"/>
    <col min="6" max="6" width="14" customWidth="1"/>
    <col min="7" max="8" width="12" customWidth="1"/>
    <col min="9" max="9" width="14" customWidth="1"/>
    <col min="10" max="12" width="16" customWidth="1"/>
  </cols>
  <sheetData>
    <row r="1" spans="1:12" ht="15" customHeight="1" x14ac:dyDescent="0.2">
      <c r="A1" s="47" t="s">
        <v>392</v>
      </c>
      <c r="B1" s="47" t="s">
        <v>334</v>
      </c>
      <c r="C1" s="47" t="s">
        <v>366</v>
      </c>
      <c r="D1" s="47" t="s">
        <v>352</v>
      </c>
      <c r="E1" s="47" t="s">
        <v>353</v>
      </c>
      <c r="F1" s="47" t="s">
        <v>356</v>
      </c>
      <c r="G1" s="47" t="s">
        <v>393</v>
      </c>
      <c r="H1" s="47" t="s">
        <v>394</v>
      </c>
      <c r="I1" s="47" t="s">
        <v>395</v>
      </c>
      <c r="J1" s="47" t="s">
        <v>396</v>
      </c>
      <c r="K1" s="47" t="s">
        <v>397</v>
      </c>
      <c r="L1" s="47" t="s">
        <v>398</v>
      </c>
    </row>
    <row r="2" spans="1:12" ht="15" customHeight="1" x14ac:dyDescent="0.2">
      <c r="A2" s="63">
        <v>42005</v>
      </c>
      <c r="B2">
        <v>2015</v>
      </c>
      <c r="C2">
        <v>1</v>
      </c>
      <c r="D2" s="57">
        <v>27.773185483871</v>
      </c>
      <c r="E2" s="57">
        <v>21.1668978841228</v>
      </c>
      <c r="F2" s="65">
        <v>0.76213432184130503</v>
      </c>
      <c r="G2" s="57">
        <v>19.682193548387101</v>
      </c>
      <c r="H2" s="57"/>
      <c r="I2" s="57"/>
      <c r="J2" s="56">
        <v>9078.6812499999996</v>
      </c>
      <c r="K2" s="56">
        <v>261.52525000000003</v>
      </c>
      <c r="L2" s="56">
        <v>559.67349999999999</v>
      </c>
    </row>
    <row r="3" spans="1:12" ht="15" customHeight="1" x14ac:dyDescent="0.2">
      <c r="A3" s="63">
        <v>42036</v>
      </c>
      <c r="B3">
        <v>2015</v>
      </c>
      <c r="C3">
        <v>2</v>
      </c>
      <c r="D3" s="57">
        <v>36.694181547619102</v>
      </c>
      <c r="E3" s="57">
        <v>33.018631934202297</v>
      </c>
      <c r="F3" s="65">
        <v>0.89983290379029501</v>
      </c>
      <c r="G3" s="57">
        <v>22.5021428571429</v>
      </c>
      <c r="H3" s="57"/>
      <c r="I3" s="57"/>
      <c r="J3" s="56">
        <v>4860.1692499999999</v>
      </c>
      <c r="K3" s="56">
        <v>283.50549999999998</v>
      </c>
      <c r="L3" s="56">
        <v>1288.41175</v>
      </c>
    </row>
    <row r="4" spans="1:12" ht="15" customHeight="1" x14ac:dyDescent="0.2">
      <c r="A4" s="63">
        <v>42064</v>
      </c>
      <c r="B4">
        <v>2015</v>
      </c>
      <c r="C4">
        <v>3</v>
      </c>
      <c r="D4" s="57">
        <v>31.2978360215054</v>
      </c>
      <c r="E4" s="57">
        <v>25.897548393340401</v>
      </c>
      <c r="F4" s="65">
        <v>0.82745491974415297</v>
      </c>
      <c r="G4" s="57">
        <v>21.803451612903199</v>
      </c>
      <c r="H4" s="57"/>
      <c r="I4" s="57"/>
      <c r="J4" s="56">
        <v>6523.6722499999996</v>
      </c>
      <c r="K4" s="56">
        <v>433.29899999999998</v>
      </c>
      <c r="L4" s="56">
        <v>2858.5772499999998</v>
      </c>
    </row>
    <row r="5" spans="1:12" ht="15" customHeight="1" x14ac:dyDescent="0.2">
      <c r="A5" s="63">
        <v>42095</v>
      </c>
      <c r="B5">
        <v>2015</v>
      </c>
      <c r="C5">
        <v>4</v>
      </c>
      <c r="D5" s="57">
        <v>29.778597222222199</v>
      </c>
      <c r="E5" s="57">
        <v>27.011167938461199</v>
      </c>
      <c r="F5" s="65">
        <v>0.90706649936835204</v>
      </c>
      <c r="G5" s="57">
        <v>22.1007</v>
      </c>
      <c r="H5" s="57"/>
      <c r="I5" s="57"/>
      <c r="J5" s="56">
        <v>4582.5174999999999</v>
      </c>
      <c r="K5" s="56">
        <v>377.10475000000002</v>
      </c>
      <c r="L5" s="56">
        <v>4435.3890000000001</v>
      </c>
    </row>
    <row r="6" spans="1:12" ht="15" customHeight="1" x14ac:dyDescent="0.2">
      <c r="A6" s="63">
        <v>42125</v>
      </c>
      <c r="B6">
        <v>2015</v>
      </c>
      <c r="C6">
        <v>5</v>
      </c>
      <c r="D6" s="57">
        <v>25.330389784946199</v>
      </c>
      <c r="E6" s="57">
        <v>24.186797599948498</v>
      </c>
      <c r="F6" s="65">
        <v>0.95485295746702603</v>
      </c>
      <c r="G6" s="57">
        <v>20.5320322580645</v>
      </c>
      <c r="H6" s="57"/>
      <c r="I6" s="57"/>
      <c r="J6" s="56">
        <v>4719.5704999999998</v>
      </c>
      <c r="K6" s="56">
        <v>567.38900000000001</v>
      </c>
      <c r="L6" s="56">
        <v>4411.59</v>
      </c>
    </row>
    <row r="7" spans="1:12" ht="15" customHeight="1" x14ac:dyDescent="0.2">
      <c r="A7" s="63">
        <v>42156</v>
      </c>
      <c r="B7">
        <v>2015</v>
      </c>
      <c r="C7">
        <v>6</v>
      </c>
      <c r="D7" s="57">
        <v>30.109736111111101</v>
      </c>
      <c r="E7" s="57">
        <v>28.8407943482074</v>
      </c>
      <c r="F7" s="65">
        <v>0.95785609816635298</v>
      </c>
      <c r="G7" s="57">
        <v>20.5216666666667</v>
      </c>
      <c r="H7" s="57"/>
      <c r="I7" s="57"/>
      <c r="J7" s="56">
        <v>3594.92875</v>
      </c>
      <c r="K7" s="56">
        <v>479.35649999999998</v>
      </c>
      <c r="L7" s="56">
        <v>4552.8232500000004</v>
      </c>
    </row>
    <row r="8" spans="1:12" ht="15" customHeight="1" x14ac:dyDescent="0.2">
      <c r="A8" s="63">
        <v>42186</v>
      </c>
      <c r="B8">
        <v>2015</v>
      </c>
      <c r="C8">
        <v>7</v>
      </c>
      <c r="D8" s="57">
        <v>34.9796774193548</v>
      </c>
      <c r="E8" s="57">
        <v>30.720061453773699</v>
      </c>
      <c r="F8" s="65">
        <v>0.87822597920173495</v>
      </c>
      <c r="G8" s="57">
        <v>20.926612903225799</v>
      </c>
      <c r="H8" s="57"/>
      <c r="I8" s="57"/>
      <c r="J8" s="56">
        <v>5151.7347499999996</v>
      </c>
      <c r="K8" s="56">
        <v>707.57074999999998</v>
      </c>
      <c r="L8" s="56">
        <v>4917.5029999999997</v>
      </c>
    </row>
    <row r="9" spans="1:12" ht="15" customHeight="1" x14ac:dyDescent="0.2">
      <c r="A9" s="63">
        <v>42217</v>
      </c>
      <c r="B9">
        <v>2015</v>
      </c>
      <c r="C9">
        <v>8</v>
      </c>
      <c r="D9" s="57">
        <v>31.613400537634401</v>
      </c>
      <c r="E9" s="57">
        <v>30.3685123647181</v>
      </c>
      <c r="F9" s="65">
        <v>0.96062150380075995</v>
      </c>
      <c r="G9" s="57">
        <v>19.607258064516099</v>
      </c>
      <c r="H9" s="57"/>
      <c r="I9" s="57"/>
      <c r="J9" s="56">
        <v>3290.7829999999999</v>
      </c>
      <c r="K9" s="56">
        <v>572.77499999999998</v>
      </c>
      <c r="L9" s="56">
        <v>4612.57125</v>
      </c>
    </row>
    <row r="10" spans="1:12" ht="15" customHeight="1" x14ac:dyDescent="0.2">
      <c r="A10" s="63">
        <v>42248</v>
      </c>
      <c r="B10">
        <v>2015</v>
      </c>
      <c r="C10">
        <v>9</v>
      </c>
      <c r="D10" s="57">
        <v>31.8886111111111</v>
      </c>
      <c r="E10" s="57">
        <v>28.700531066762199</v>
      </c>
      <c r="F10" s="65">
        <v>0.900024493596144</v>
      </c>
      <c r="G10" s="57">
        <v>19.176666666666701</v>
      </c>
      <c r="H10" s="57"/>
      <c r="I10" s="57"/>
      <c r="J10" s="56">
        <v>4779.4494999999997</v>
      </c>
      <c r="K10" s="56">
        <v>766.46550000000002</v>
      </c>
      <c r="L10" s="56">
        <v>3226.5259999999998</v>
      </c>
    </row>
    <row r="11" spans="1:12" ht="15" customHeight="1" x14ac:dyDescent="0.2">
      <c r="A11" s="63">
        <v>42278</v>
      </c>
      <c r="B11">
        <v>2015</v>
      </c>
      <c r="C11">
        <v>10</v>
      </c>
      <c r="D11" s="57">
        <v>39.3688978494624</v>
      </c>
      <c r="E11" s="57">
        <v>37.077544886865802</v>
      </c>
      <c r="F11" s="65">
        <v>0.94179788899963301</v>
      </c>
      <c r="G11" s="57">
        <v>18.287903225806499</v>
      </c>
      <c r="H11" s="57"/>
      <c r="I11" s="57"/>
      <c r="J11" s="56">
        <v>3090.5082499999999</v>
      </c>
      <c r="K11" s="56">
        <v>888.42774999999995</v>
      </c>
      <c r="L11" s="56">
        <v>1946.34725</v>
      </c>
    </row>
    <row r="12" spans="1:12" ht="15" customHeight="1" x14ac:dyDescent="0.2">
      <c r="A12" s="63">
        <v>42309</v>
      </c>
      <c r="B12">
        <v>2015</v>
      </c>
      <c r="C12">
        <v>11</v>
      </c>
      <c r="D12" s="57">
        <v>32.381680555555597</v>
      </c>
      <c r="E12" s="57">
        <v>28.074048486515899</v>
      </c>
      <c r="F12" s="65">
        <v>0.86697317757646197</v>
      </c>
      <c r="G12" s="57">
        <v>17.2</v>
      </c>
      <c r="H12" s="57"/>
      <c r="I12" s="57"/>
      <c r="J12" s="56">
        <v>9276.3612499999999</v>
      </c>
      <c r="K12" s="56">
        <v>1295.7550000000001</v>
      </c>
      <c r="L12" s="56">
        <v>1136.4837500000001</v>
      </c>
    </row>
    <row r="13" spans="1:12" ht="15" customHeight="1" x14ac:dyDescent="0.2">
      <c r="A13" s="63">
        <v>42339</v>
      </c>
      <c r="B13">
        <v>2015</v>
      </c>
      <c r="C13">
        <v>12</v>
      </c>
      <c r="D13" s="57">
        <v>27.785564516129</v>
      </c>
      <c r="E13" s="57">
        <v>24.922729349684101</v>
      </c>
      <c r="F13" s="65">
        <v>0.89696681653586297</v>
      </c>
      <c r="G13" s="57">
        <v>15.697580645161301</v>
      </c>
      <c r="H13" s="57"/>
      <c r="I13" s="57"/>
      <c r="J13" s="56">
        <v>10070.53075</v>
      </c>
      <c r="K13" s="56">
        <v>1502.8040000000001</v>
      </c>
      <c r="L13" s="56">
        <v>850.92949999999996</v>
      </c>
    </row>
    <row r="14" spans="1:12" ht="15" customHeight="1" x14ac:dyDescent="0.2">
      <c r="A14" s="63">
        <v>42370</v>
      </c>
      <c r="B14">
        <v>2016</v>
      </c>
      <c r="C14">
        <v>1</v>
      </c>
      <c r="D14" s="57">
        <v>29.025376344085998</v>
      </c>
      <c r="E14" s="57">
        <v>24.872509322527598</v>
      </c>
      <c r="F14" s="65">
        <v>0.85692288801607197</v>
      </c>
      <c r="G14" s="57">
        <v>13.9588709677419</v>
      </c>
      <c r="H14" s="57"/>
      <c r="I14" s="57"/>
      <c r="J14" s="56">
        <v>7883.4575000000004</v>
      </c>
      <c r="K14" s="56">
        <v>1381.1089999999999</v>
      </c>
      <c r="L14" s="56">
        <v>654.31425000000002</v>
      </c>
    </row>
    <row r="15" spans="1:12" ht="15" customHeight="1" x14ac:dyDescent="0.2">
      <c r="A15" s="63">
        <v>42401</v>
      </c>
      <c r="B15">
        <v>2016</v>
      </c>
      <c r="C15">
        <v>2</v>
      </c>
      <c r="D15" s="57">
        <v>21.9984195402299</v>
      </c>
      <c r="E15" s="57">
        <v>19.163074860647502</v>
      </c>
      <c r="F15" s="65">
        <v>0.87111143714677997</v>
      </c>
      <c r="G15" s="57">
        <v>12.4008620689655</v>
      </c>
      <c r="H15" s="57"/>
      <c r="I15" s="57"/>
      <c r="J15" s="56">
        <v>8659.22775</v>
      </c>
      <c r="K15" s="56">
        <v>1151.8244999999999</v>
      </c>
      <c r="L15" s="56">
        <v>1249.1737499999999</v>
      </c>
    </row>
    <row r="16" spans="1:12" ht="15" customHeight="1" x14ac:dyDescent="0.2">
      <c r="A16" s="63">
        <v>42430</v>
      </c>
      <c r="B16">
        <v>2016</v>
      </c>
      <c r="C16">
        <v>3</v>
      </c>
      <c r="D16" s="57">
        <v>24.299059139785001</v>
      </c>
      <c r="E16" s="57">
        <v>22.005712116911901</v>
      </c>
      <c r="F16" s="65">
        <v>0.90561992504812305</v>
      </c>
      <c r="G16" s="57">
        <v>12.250806451612901</v>
      </c>
      <c r="H16" s="57"/>
      <c r="I16" s="57"/>
      <c r="J16" s="56">
        <v>5130.6897499999995</v>
      </c>
      <c r="K16" s="56">
        <v>843.61974999999995</v>
      </c>
      <c r="L16" s="56">
        <v>2370.1190000000001</v>
      </c>
    </row>
    <row r="17" spans="1:12" ht="15" customHeight="1" x14ac:dyDescent="0.2">
      <c r="A17" s="63">
        <v>42461</v>
      </c>
      <c r="B17">
        <v>2016</v>
      </c>
      <c r="C17">
        <v>4</v>
      </c>
      <c r="D17" s="57">
        <v>24.210125000000001</v>
      </c>
      <c r="E17" s="57">
        <v>23.765994572290602</v>
      </c>
      <c r="F17" s="65">
        <v>0.98165517824838</v>
      </c>
      <c r="G17" s="57">
        <v>12.1191666666667</v>
      </c>
      <c r="H17" s="57"/>
      <c r="I17" s="57"/>
      <c r="J17" s="56">
        <v>5018.0122499999998</v>
      </c>
      <c r="K17" s="56">
        <v>883.65674999999999</v>
      </c>
      <c r="L17" s="56">
        <v>3708.5790000000002</v>
      </c>
    </row>
    <row r="18" spans="1:12" ht="15" customHeight="1" x14ac:dyDescent="0.2">
      <c r="A18" s="63">
        <v>42491</v>
      </c>
      <c r="B18">
        <v>2016</v>
      </c>
      <c r="C18">
        <v>5</v>
      </c>
      <c r="D18" s="57">
        <v>22.550860215053799</v>
      </c>
      <c r="E18" s="57">
        <v>19.298040343522601</v>
      </c>
      <c r="F18" s="65">
        <v>0.85575628421660899</v>
      </c>
      <c r="G18" s="57">
        <v>13.074999999999999</v>
      </c>
      <c r="H18" s="57"/>
      <c r="I18" s="57"/>
      <c r="J18" s="56">
        <v>5164.942</v>
      </c>
      <c r="K18" s="56">
        <v>915.66324999999995</v>
      </c>
      <c r="L18" s="56">
        <v>4716.7652500000004</v>
      </c>
    </row>
    <row r="19" spans="1:12" ht="15" customHeight="1" x14ac:dyDescent="0.2">
      <c r="A19" s="63">
        <v>42522</v>
      </c>
      <c r="B19">
        <v>2016</v>
      </c>
      <c r="C19">
        <v>6</v>
      </c>
      <c r="D19" s="57">
        <v>27.704638888888901</v>
      </c>
      <c r="E19" s="57">
        <v>27.462206025778698</v>
      </c>
      <c r="F19" s="65">
        <v>0.99124937653645295</v>
      </c>
      <c r="G19" s="57">
        <v>14.4125</v>
      </c>
      <c r="H19" s="57"/>
      <c r="I19" s="57"/>
      <c r="J19" s="56">
        <v>2672.0315000000001</v>
      </c>
      <c r="K19" s="56">
        <v>516.00549999999998</v>
      </c>
      <c r="L19" s="56">
        <v>4574.8225000000002</v>
      </c>
    </row>
    <row r="20" spans="1:12" ht="15" customHeight="1" x14ac:dyDescent="0.2">
      <c r="A20" s="63">
        <v>42552</v>
      </c>
      <c r="B20">
        <v>2016</v>
      </c>
      <c r="C20">
        <v>7</v>
      </c>
      <c r="D20" s="57">
        <v>27.181115591397901</v>
      </c>
      <c r="E20" s="57">
        <v>25.077803781254602</v>
      </c>
      <c r="F20" s="65">
        <v>0.92261863560858004</v>
      </c>
      <c r="G20" s="57">
        <v>14.2137096774194</v>
      </c>
      <c r="H20" s="57"/>
      <c r="I20" s="57"/>
      <c r="J20" s="56">
        <v>3878.8162499999999</v>
      </c>
      <c r="K20" s="56">
        <v>765.74424999999997</v>
      </c>
      <c r="L20" s="56">
        <v>4835.7745000000004</v>
      </c>
    </row>
    <row r="21" spans="1:12" ht="15" customHeight="1" x14ac:dyDescent="0.2">
      <c r="A21" s="63">
        <v>42583</v>
      </c>
      <c r="B21">
        <v>2016</v>
      </c>
      <c r="C21">
        <v>8</v>
      </c>
      <c r="D21" s="57">
        <v>27.1817204301075</v>
      </c>
      <c r="E21" s="57">
        <v>25.9733544610975</v>
      </c>
      <c r="F21" s="65">
        <v>0.95554490481508902</v>
      </c>
      <c r="G21" s="57">
        <v>11.851612903225799</v>
      </c>
      <c r="H21" s="57"/>
      <c r="I21" s="57"/>
      <c r="J21" s="56">
        <v>3862.4137500000002</v>
      </c>
      <c r="K21" s="56">
        <v>874.69050000000004</v>
      </c>
      <c r="L21" s="56">
        <v>4622.5232500000002</v>
      </c>
    </row>
    <row r="22" spans="1:12" ht="15" customHeight="1" x14ac:dyDescent="0.2">
      <c r="A22" s="63">
        <v>42614</v>
      </c>
      <c r="B22">
        <v>2016</v>
      </c>
      <c r="C22">
        <v>9</v>
      </c>
      <c r="D22" s="57">
        <v>30.510763888888899</v>
      </c>
      <c r="E22" s="57">
        <v>28.266479542417301</v>
      </c>
      <c r="F22" s="65">
        <v>0.92644286604410697</v>
      </c>
      <c r="G22" s="57">
        <v>12.244999999999999</v>
      </c>
      <c r="H22" s="57"/>
      <c r="I22" s="57"/>
      <c r="J22" s="56">
        <v>3424.9684999999999</v>
      </c>
      <c r="K22" s="56">
        <v>695.41774999999996</v>
      </c>
      <c r="L22" s="56">
        <v>3793.8142499999999</v>
      </c>
    </row>
    <row r="23" spans="1:12" ht="15" customHeight="1" x14ac:dyDescent="0.2">
      <c r="A23" s="63">
        <v>42644</v>
      </c>
      <c r="B23">
        <v>2016</v>
      </c>
      <c r="C23">
        <v>10</v>
      </c>
      <c r="D23" s="57">
        <v>37.141760752688199</v>
      </c>
      <c r="E23" s="57">
        <v>34.678651274504297</v>
      </c>
      <c r="F23" s="65">
        <v>0.93368355650706203</v>
      </c>
      <c r="G23" s="57">
        <v>15.9838709677419</v>
      </c>
      <c r="H23" s="57"/>
      <c r="I23" s="57"/>
      <c r="J23" s="56">
        <v>3984.1325000000002</v>
      </c>
      <c r="K23" s="56">
        <v>1169.7860000000001</v>
      </c>
      <c r="L23" s="56">
        <v>1612.963</v>
      </c>
    </row>
    <row r="24" spans="1:12" ht="15" customHeight="1" x14ac:dyDescent="0.2">
      <c r="A24" s="63">
        <v>42675</v>
      </c>
      <c r="B24">
        <v>2016</v>
      </c>
      <c r="C24">
        <v>11</v>
      </c>
      <c r="D24" s="57">
        <v>38.213486111111102</v>
      </c>
      <c r="E24" s="57">
        <v>34.1852521395612</v>
      </c>
      <c r="F24" s="65">
        <v>0.89458606420159503</v>
      </c>
      <c r="G24" s="57">
        <v>18.072500000000002</v>
      </c>
      <c r="H24" s="57"/>
      <c r="I24" s="57"/>
      <c r="J24" s="56">
        <v>6742.0155000000004</v>
      </c>
      <c r="K24" s="56">
        <v>1301.653</v>
      </c>
      <c r="L24" s="56">
        <v>1004.2265</v>
      </c>
    </row>
    <row r="25" spans="1:12" ht="15" customHeight="1" x14ac:dyDescent="0.2">
      <c r="A25" s="63">
        <v>42705</v>
      </c>
      <c r="B25">
        <v>2016</v>
      </c>
      <c r="C25">
        <v>12</v>
      </c>
      <c r="D25" s="57">
        <v>37.470053763440902</v>
      </c>
      <c r="E25" s="57">
        <v>25.825970461760001</v>
      </c>
      <c r="F25" s="65">
        <v>0.689242951846473</v>
      </c>
      <c r="G25" s="57">
        <v>17.815322580645201</v>
      </c>
      <c r="H25" s="57"/>
      <c r="I25" s="57"/>
      <c r="J25" s="56">
        <v>7587.6225000000004</v>
      </c>
      <c r="K25" s="56">
        <v>1232.71325</v>
      </c>
      <c r="L25" s="56">
        <v>771.32825000000003</v>
      </c>
    </row>
    <row r="26" spans="1:12" ht="15" customHeight="1" x14ac:dyDescent="0.2">
      <c r="A26" s="63">
        <v>42736</v>
      </c>
      <c r="B26">
        <v>2017</v>
      </c>
      <c r="C26">
        <v>1</v>
      </c>
      <c r="D26" s="57">
        <v>52.405147849462402</v>
      </c>
      <c r="E26" s="57">
        <v>42.509549232587602</v>
      </c>
      <c r="F26" s="65">
        <v>0.81117124895247705</v>
      </c>
      <c r="G26" s="57">
        <v>20.139516129032302</v>
      </c>
      <c r="H26" s="57"/>
      <c r="I26" s="57"/>
      <c r="J26" s="56">
        <v>6599.1897499999995</v>
      </c>
      <c r="K26" s="56">
        <v>1228.3177499999999</v>
      </c>
      <c r="L26" s="56">
        <v>798.42224999999996</v>
      </c>
    </row>
    <row r="27" spans="1:12" ht="15" customHeight="1" x14ac:dyDescent="0.2">
      <c r="A27" s="63">
        <v>42767</v>
      </c>
      <c r="B27">
        <v>2017</v>
      </c>
      <c r="C27">
        <v>2</v>
      </c>
      <c r="D27" s="57">
        <v>39.680982142857097</v>
      </c>
      <c r="E27" s="57">
        <v>34.017747825686101</v>
      </c>
      <c r="F27" s="65">
        <v>0.85728089348236003</v>
      </c>
      <c r="G27" s="57">
        <v>19.637499999999999</v>
      </c>
      <c r="H27" s="57">
        <v>5.5778571428571402</v>
      </c>
      <c r="I27" s="57">
        <v>41.227249999999998</v>
      </c>
      <c r="J27" s="56">
        <v>7996.6509999999998</v>
      </c>
      <c r="K27" s="56">
        <v>1903.1579999999999</v>
      </c>
      <c r="L27" s="56">
        <v>1484.9690000000001</v>
      </c>
    </row>
    <row r="28" spans="1:12" ht="15" customHeight="1" x14ac:dyDescent="0.2">
      <c r="A28" s="63">
        <v>42795</v>
      </c>
      <c r="B28">
        <v>2017</v>
      </c>
      <c r="C28">
        <v>3</v>
      </c>
      <c r="D28" s="57">
        <v>31.691169354838699</v>
      </c>
      <c r="E28" s="57">
        <v>29.6685057786177</v>
      </c>
      <c r="F28" s="65">
        <v>0.93617579857739797</v>
      </c>
      <c r="G28" s="57">
        <v>15.883870967741901</v>
      </c>
      <c r="H28" s="57">
        <v>5.5567741935483896</v>
      </c>
      <c r="I28" s="57">
        <v>33.712612903225804</v>
      </c>
      <c r="J28" s="56">
        <v>7806.5129999999999</v>
      </c>
      <c r="K28" s="56">
        <v>1487.2952499999999</v>
      </c>
      <c r="L28" s="56">
        <v>3230.5985000000001</v>
      </c>
    </row>
    <row r="29" spans="1:12" ht="15" customHeight="1" x14ac:dyDescent="0.2">
      <c r="A29" s="63">
        <v>42826</v>
      </c>
      <c r="B29">
        <v>2017</v>
      </c>
      <c r="C29">
        <v>4</v>
      </c>
      <c r="D29" s="57">
        <v>28.721180555555598</v>
      </c>
      <c r="E29" s="57">
        <v>25.019293490547899</v>
      </c>
      <c r="F29" s="65">
        <v>0.87110950896161499</v>
      </c>
      <c r="G29" s="57">
        <v>16.122499999999999</v>
      </c>
      <c r="H29" s="57">
        <v>5.2216666666666702</v>
      </c>
      <c r="I29" s="57">
        <v>34.072583333333299</v>
      </c>
      <c r="J29" s="56">
        <v>6732.0950000000003</v>
      </c>
      <c r="K29" s="56">
        <v>1398.011</v>
      </c>
      <c r="L29" s="56">
        <v>3856.8537500000002</v>
      </c>
    </row>
    <row r="30" spans="1:12" ht="15" customHeight="1" x14ac:dyDescent="0.2">
      <c r="A30" s="63">
        <v>42856</v>
      </c>
      <c r="B30">
        <v>2017</v>
      </c>
      <c r="C30">
        <v>5</v>
      </c>
      <c r="D30" s="57">
        <v>30.610107526881698</v>
      </c>
      <c r="E30" s="57">
        <v>27.9609022010285</v>
      </c>
      <c r="F30" s="65">
        <v>0.91345324992645804</v>
      </c>
      <c r="G30" s="57">
        <v>15.6685483870968</v>
      </c>
      <c r="H30" s="57">
        <v>5.1741935483871</v>
      </c>
      <c r="I30" s="57">
        <v>33.148064516128997</v>
      </c>
      <c r="J30" s="56">
        <v>4443.366</v>
      </c>
      <c r="K30" s="56">
        <v>1203.23875</v>
      </c>
      <c r="L30" s="56">
        <v>5120.3122499999999</v>
      </c>
    </row>
    <row r="31" spans="1:12" ht="15" customHeight="1" x14ac:dyDescent="0.2">
      <c r="A31" s="63">
        <v>42887</v>
      </c>
      <c r="B31">
        <v>2017</v>
      </c>
      <c r="C31">
        <v>6</v>
      </c>
      <c r="D31" s="57">
        <v>30.0041805555556</v>
      </c>
      <c r="E31" s="57">
        <v>26.8339369060892</v>
      </c>
      <c r="F31" s="65">
        <v>0.89433993561009295</v>
      </c>
      <c r="G31" s="57">
        <v>15.085000000000001</v>
      </c>
      <c r="H31" s="57">
        <v>5.4456666666666704</v>
      </c>
      <c r="I31" s="57">
        <v>32.075983333333298</v>
      </c>
      <c r="J31" s="56">
        <v>5880.1527500000002</v>
      </c>
      <c r="K31" s="56">
        <v>1247.77775</v>
      </c>
      <c r="L31" s="56">
        <v>5366.8604999999998</v>
      </c>
    </row>
    <row r="32" spans="1:12" ht="15" customHeight="1" x14ac:dyDescent="0.2">
      <c r="A32" s="63">
        <v>42917</v>
      </c>
      <c r="B32">
        <v>2017</v>
      </c>
      <c r="C32">
        <v>7</v>
      </c>
      <c r="D32" s="57">
        <v>33.005577956989299</v>
      </c>
      <c r="E32" s="57">
        <v>30.805132949431702</v>
      </c>
      <c r="F32" s="65">
        <v>0.93333111723039697</v>
      </c>
      <c r="G32" s="57">
        <v>15.0887096774194</v>
      </c>
      <c r="H32" s="57">
        <v>5.77935483870968</v>
      </c>
      <c r="I32" s="57">
        <v>32.200193548387098</v>
      </c>
      <c r="J32" s="56">
        <v>4560.9994999999999</v>
      </c>
      <c r="K32" s="56">
        <v>932.51300000000003</v>
      </c>
      <c r="L32" s="56">
        <v>4886.3395</v>
      </c>
    </row>
    <row r="33" spans="1:12" ht="15" customHeight="1" x14ac:dyDescent="0.2">
      <c r="A33" s="63">
        <v>42948</v>
      </c>
      <c r="B33">
        <v>2017</v>
      </c>
      <c r="C33">
        <v>8</v>
      </c>
      <c r="D33" s="57">
        <v>30.8558870967742</v>
      </c>
      <c r="E33" s="57">
        <v>28.374998698706101</v>
      </c>
      <c r="F33" s="65">
        <v>0.91959756689907601</v>
      </c>
      <c r="G33" s="57">
        <v>16.033064516128999</v>
      </c>
      <c r="H33" s="57">
        <v>6.3251612903225798</v>
      </c>
      <c r="I33" s="57">
        <v>34.279935483871</v>
      </c>
      <c r="J33" s="56">
        <v>4374.3322500000004</v>
      </c>
      <c r="K33" s="56">
        <v>1125.443</v>
      </c>
      <c r="L33" s="56">
        <v>4602.7877500000004</v>
      </c>
    </row>
    <row r="34" spans="1:12" ht="15" customHeight="1" x14ac:dyDescent="0.2">
      <c r="A34" s="63">
        <v>42979</v>
      </c>
      <c r="B34">
        <v>2017</v>
      </c>
      <c r="C34">
        <v>9</v>
      </c>
      <c r="D34" s="57">
        <v>34.298097222222196</v>
      </c>
      <c r="E34" s="57">
        <v>28.425902044769899</v>
      </c>
      <c r="F34" s="65">
        <v>0.82878947658800195</v>
      </c>
      <c r="G34" s="57">
        <v>17.149166666666702</v>
      </c>
      <c r="H34" s="57">
        <v>7.3680000000000003</v>
      </c>
      <c r="I34" s="57">
        <v>36.877133333333298</v>
      </c>
      <c r="J34" s="56">
        <v>5277.674</v>
      </c>
      <c r="K34" s="56">
        <v>1010.01825</v>
      </c>
      <c r="L34" s="56">
        <v>3079.2872499999999</v>
      </c>
    </row>
    <row r="35" spans="1:12" ht="15" customHeight="1" x14ac:dyDescent="0.2">
      <c r="A35" s="63">
        <v>43009</v>
      </c>
      <c r="B35">
        <v>2017</v>
      </c>
      <c r="C35">
        <v>10</v>
      </c>
      <c r="D35" s="57">
        <v>28.288655913978499</v>
      </c>
      <c r="E35" s="57">
        <v>20.905300017818401</v>
      </c>
      <c r="F35" s="65">
        <v>0.73899940956503096</v>
      </c>
      <c r="G35" s="57">
        <v>17.1112903225807</v>
      </c>
      <c r="H35" s="57">
        <v>7.8261290322580699</v>
      </c>
      <c r="I35" s="57">
        <v>36.961725806451597</v>
      </c>
      <c r="J35" s="56">
        <v>10266.058999999999</v>
      </c>
      <c r="K35" s="56">
        <v>2214.0340000000001</v>
      </c>
      <c r="L35" s="56">
        <v>2130.3164999999999</v>
      </c>
    </row>
    <row r="36" spans="1:12" ht="15" customHeight="1" x14ac:dyDescent="0.2">
      <c r="A36" s="63">
        <v>43040</v>
      </c>
      <c r="B36">
        <v>2017</v>
      </c>
      <c r="C36">
        <v>11</v>
      </c>
      <c r="D36" s="57">
        <v>40.378999999999998</v>
      </c>
      <c r="E36" s="57">
        <v>32.199180622377199</v>
      </c>
      <c r="F36" s="65">
        <v>0.79742392388066197</v>
      </c>
      <c r="G36" s="57">
        <v>19.563333333333301</v>
      </c>
      <c r="H36" s="57">
        <v>8.1413333333333302</v>
      </c>
      <c r="I36" s="57">
        <v>41.976133333333301</v>
      </c>
      <c r="J36" s="56">
        <v>8615.9682499999999</v>
      </c>
      <c r="K36" s="56">
        <v>1643.01025</v>
      </c>
      <c r="L36" s="56">
        <v>831.01750000000004</v>
      </c>
    </row>
    <row r="37" spans="1:12" ht="15" customHeight="1" x14ac:dyDescent="0.2">
      <c r="A37" s="63">
        <v>43070</v>
      </c>
      <c r="B37">
        <v>2017</v>
      </c>
      <c r="C37">
        <v>12</v>
      </c>
      <c r="D37" s="57">
        <v>30.710497311828</v>
      </c>
      <c r="E37" s="57">
        <v>22.9650163499436</v>
      </c>
      <c r="F37" s="65">
        <v>0.74779044170993403</v>
      </c>
      <c r="G37" s="57">
        <v>20.8725806451613</v>
      </c>
      <c r="H37" s="57">
        <v>8.17</v>
      </c>
      <c r="I37" s="57">
        <v>44.604661290322603</v>
      </c>
      <c r="J37" s="56">
        <v>12699.789000000001</v>
      </c>
      <c r="K37" s="56">
        <v>2025.6085</v>
      </c>
      <c r="L37" s="56">
        <v>495.41624999999999</v>
      </c>
    </row>
    <row r="38" spans="1:12" ht="15" customHeight="1" x14ac:dyDescent="0.2">
      <c r="A38" s="63">
        <v>43101</v>
      </c>
      <c r="B38">
        <v>2018</v>
      </c>
      <c r="C38">
        <v>1</v>
      </c>
      <c r="D38" s="57">
        <v>29.500860215053802</v>
      </c>
      <c r="E38" s="57">
        <v>24.3450453193927</v>
      </c>
      <c r="F38" s="65">
        <v>0.82523170992044104</v>
      </c>
      <c r="G38" s="57">
        <v>18.724193548387099</v>
      </c>
      <c r="H38" s="57">
        <v>8.9483870967741908</v>
      </c>
      <c r="I38" s="57">
        <v>40.580322580645202</v>
      </c>
      <c r="J38" s="56">
        <v>12561.965</v>
      </c>
      <c r="K38" s="56">
        <v>1883.2619999999999</v>
      </c>
      <c r="L38" s="56">
        <v>730.14475000000004</v>
      </c>
    </row>
    <row r="39" spans="1:12" ht="15" customHeight="1" x14ac:dyDescent="0.2">
      <c r="A39" s="63">
        <v>43132</v>
      </c>
      <c r="B39">
        <v>2018</v>
      </c>
      <c r="C39">
        <v>2</v>
      </c>
      <c r="D39" s="57">
        <v>40.122767857142897</v>
      </c>
      <c r="E39" s="57">
        <v>36.603765453996303</v>
      </c>
      <c r="F39" s="65">
        <v>0.91229412647512298</v>
      </c>
      <c r="G39" s="57">
        <v>21.777678571428599</v>
      </c>
      <c r="H39" s="57">
        <v>10.2217857142857</v>
      </c>
      <c r="I39" s="57">
        <v>47.132982142857102</v>
      </c>
      <c r="J39" s="56">
        <v>6416.598</v>
      </c>
      <c r="K39" s="56">
        <v>1539.874</v>
      </c>
      <c r="L39" s="56">
        <v>1830.4994999999999</v>
      </c>
    </row>
    <row r="40" spans="1:12" ht="15" customHeight="1" x14ac:dyDescent="0.2">
      <c r="A40" s="63">
        <v>43160</v>
      </c>
      <c r="B40">
        <v>2018</v>
      </c>
      <c r="C40">
        <v>3</v>
      </c>
      <c r="D40" s="57">
        <v>37.3593817204301</v>
      </c>
      <c r="E40" s="57">
        <v>31.514703863018301</v>
      </c>
      <c r="F40" s="65">
        <v>0.843555284154618</v>
      </c>
      <c r="G40" s="57">
        <v>23.940322580645201</v>
      </c>
      <c r="H40" s="57">
        <v>12.4322580645161</v>
      </c>
      <c r="I40" s="57">
        <v>52.231935483870998</v>
      </c>
      <c r="J40" s="56">
        <v>9041.3230000000003</v>
      </c>
      <c r="K40" s="56">
        <v>1616.2482500000001</v>
      </c>
      <c r="L40" s="56">
        <v>2703.9097499999998</v>
      </c>
    </row>
    <row r="41" spans="1:12" ht="15" customHeight="1" x14ac:dyDescent="0.2">
      <c r="A41" s="63">
        <v>43191</v>
      </c>
      <c r="B41">
        <v>2018</v>
      </c>
      <c r="C41">
        <v>4</v>
      </c>
      <c r="D41" s="57">
        <v>31.960750000000001</v>
      </c>
      <c r="E41" s="57">
        <v>29.992930416269399</v>
      </c>
      <c r="F41" s="65">
        <v>0.93843011870088699</v>
      </c>
      <c r="G41" s="57">
        <v>19.739999999999998</v>
      </c>
      <c r="H41" s="57">
        <v>14.597666666666701</v>
      </c>
      <c r="I41" s="57">
        <v>44.589183333333303</v>
      </c>
      <c r="J41" s="56">
        <v>7341.67425</v>
      </c>
      <c r="K41" s="56">
        <v>1593.1495</v>
      </c>
      <c r="L41" s="56">
        <v>4835.3322500000004</v>
      </c>
    </row>
    <row r="42" spans="1:12" ht="15" customHeight="1" x14ac:dyDescent="0.2">
      <c r="A42" s="63">
        <v>43221</v>
      </c>
      <c r="B42">
        <v>2018</v>
      </c>
      <c r="C42">
        <v>5</v>
      </c>
      <c r="D42" s="57">
        <v>33.658548387096801</v>
      </c>
      <c r="E42" s="57">
        <v>29.821112180113001</v>
      </c>
      <c r="F42" s="65">
        <v>0.885989254116054</v>
      </c>
      <c r="G42" s="57">
        <v>21.6225806451613</v>
      </c>
      <c r="H42" s="57">
        <v>16.216129032258099</v>
      </c>
      <c r="I42" s="57">
        <v>48.920806451612897</v>
      </c>
      <c r="J42" s="56">
        <v>5867.9802499999996</v>
      </c>
      <c r="K42" s="56">
        <v>1300.72525</v>
      </c>
      <c r="L42" s="56">
        <v>5931.4787500000002</v>
      </c>
    </row>
    <row r="43" spans="1:12" ht="15" customHeight="1" x14ac:dyDescent="0.2">
      <c r="A43" s="63">
        <v>43252</v>
      </c>
      <c r="B43">
        <v>2018</v>
      </c>
      <c r="C43">
        <v>6</v>
      </c>
      <c r="D43" s="57">
        <v>42.393361111111098</v>
      </c>
      <c r="E43" s="57">
        <v>38.7746092832</v>
      </c>
      <c r="F43" s="65">
        <v>0.91463871386780404</v>
      </c>
      <c r="G43" s="57">
        <v>21.837499999999999</v>
      </c>
      <c r="H43" s="57">
        <v>16.930666666666699</v>
      </c>
      <c r="I43" s="57">
        <v>49.600733333333302</v>
      </c>
      <c r="J43" s="56">
        <v>4638.5675000000001</v>
      </c>
      <c r="K43" s="56">
        <v>1125.2815000000001</v>
      </c>
      <c r="L43" s="56">
        <v>5336.7417500000001</v>
      </c>
    </row>
    <row r="44" spans="1:12" ht="15" customHeight="1" x14ac:dyDescent="0.2">
      <c r="A44" s="63">
        <v>43282</v>
      </c>
      <c r="B44">
        <v>2018</v>
      </c>
      <c r="C44">
        <v>7</v>
      </c>
      <c r="D44" s="57">
        <v>49.589704301075301</v>
      </c>
      <c r="E44" s="57">
        <v>47.532331984323001</v>
      </c>
      <c r="F44" s="65">
        <v>0.958512107588679</v>
      </c>
      <c r="G44" s="57">
        <v>22.219354838709702</v>
      </c>
      <c r="H44" s="57">
        <v>18.411612903225802</v>
      </c>
      <c r="I44" s="57">
        <v>50.8827741935484</v>
      </c>
      <c r="J44" s="56">
        <v>3659.24125</v>
      </c>
      <c r="K44" s="56">
        <v>752.91499999999996</v>
      </c>
      <c r="L44" s="56">
        <v>6166.8987500000003</v>
      </c>
    </row>
    <row r="45" spans="1:12" ht="15" customHeight="1" x14ac:dyDescent="0.2">
      <c r="A45" s="63">
        <v>43313</v>
      </c>
      <c r="B45">
        <v>2018</v>
      </c>
      <c r="C45">
        <v>8</v>
      </c>
      <c r="D45" s="57">
        <v>56.215537634408598</v>
      </c>
      <c r="E45" s="57">
        <v>54.245695111360597</v>
      </c>
      <c r="F45" s="65">
        <v>0.96495910906591897</v>
      </c>
      <c r="G45" s="57">
        <v>23.908064516128999</v>
      </c>
      <c r="H45" s="57">
        <v>21.42</v>
      </c>
      <c r="I45" s="57">
        <v>55.313129032258097</v>
      </c>
      <c r="J45" s="56">
        <v>5046.9137499999997</v>
      </c>
      <c r="K45" s="56">
        <v>1076.454</v>
      </c>
      <c r="L45" s="56">
        <v>5183.46425</v>
      </c>
    </row>
    <row r="46" spans="1:12" ht="15" customHeight="1" x14ac:dyDescent="0.2">
      <c r="A46" s="63">
        <v>43344</v>
      </c>
      <c r="B46">
        <v>2018</v>
      </c>
      <c r="C46">
        <v>9</v>
      </c>
      <c r="D46" s="57">
        <v>54.835000000000001</v>
      </c>
      <c r="E46" s="57">
        <v>50.020973144373201</v>
      </c>
      <c r="F46" s="65">
        <v>0.91220886558535896</v>
      </c>
      <c r="G46" s="57">
        <v>27.686666666666699</v>
      </c>
      <c r="H46" s="57">
        <v>24.770666666666699</v>
      </c>
      <c r="I46" s="57">
        <v>64.043066666666704</v>
      </c>
      <c r="J46" s="56">
        <v>6194.5677500000002</v>
      </c>
      <c r="K46" s="56">
        <v>1787.4169999999999</v>
      </c>
      <c r="L46" s="56">
        <v>4069.317</v>
      </c>
    </row>
    <row r="47" spans="1:12" ht="15" customHeight="1" x14ac:dyDescent="0.2">
      <c r="A47" s="63">
        <v>43374</v>
      </c>
      <c r="B47">
        <v>2018</v>
      </c>
      <c r="C47">
        <v>10</v>
      </c>
      <c r="D47" s="57">
        <v>53.082123655914003</v>
      </c>
      <c r="E47" s="57">
        <v>45.997486632522197</v>
      </c>
      <c r="F47" s="65">
        <v>0.86653440865863895</v>
      </c>
      <c r="G47" s="57">
        <v>25.568548387096801</v>
      </c>
      <c r="H47" s="57">
        <v>23.9716129032258</v>
      </c>
      <c r="I47" s="57">
        <v>59.527161290322603</v>
      </c>
      <c r="J47" s="56">
        <v>8735.7697499999995</v>
      </c>
      <c r="K47" s="56">
        <v>2007.29925</v>
      </c>
      <c r="L47" s="56">
        <v>2748.5839999999998</v>
      </c>
    </row>
    <row r="48" spans="1:12" ht="15" customHeight="1" x14ac:dyDescent="0.2">
      <c r="A48" s="63">
        <v>43405</v>
      </c>
      <c r="B48">
        <v>2018</v>
      </c>
      <c r="C48">
        <v>11</v>
      </c>
      <c r="D48" s="57">
        <v>56.680833333333297</v>
      </c>
      <c r="E48" s="57">
        <v>53.093034292992897</v>
      </c>
      <c r="F48" s="65">
        <v>0.93670172385714601</v>
      </c>
      <c r="G48" s="57">
        <v>24.628333333333298</v>
      </c>
      <c r="H48" s="57">
        <v>22.2776666666667</v>
      </c>
      <c r="I48" s="57">
        <v>57.053849999999997</v>
      </c>
      <c r="J48" s="56">
        <v>7965.8712500000001</v>
      </c>
      <c r="K48" s="56">
        <v>1976.9590000000001</v>
      </c>
      <c r="L48" s="56">
        <v>1170.9555</v>
      </c>
    </row>
    <row r="49" spans="1:12" ht="15" customHeight="1" x14ac:dyDescent="0.2">
      <c r="A49" s="63">
        <v>43435</v>
      </c>
      <c r="B49">
        <v>2018</v>
      </c>
      <c r="C49">
        <v>12</v>
      </c>
      <c r="D49" s="57">
        <v>48.110604838709698</v>
      </c>
      <c r="E49" s="57">
        <v>41.641296700661201</v>
      </c>
      <c r="F49" s="65">
        <v>0.86553259598924703</v>
      </c>
      <c r="G49" s="57">
        <v>23.766935483870999</v>
      </c>
      <c r="H49" s="57">
        <v>25.871612903225799</v>
      </c>
      <c r="I49" s="57">
        <v>56.588935483870998</v>
      </c>
      <c r="J49" s="56">
        <v>12018.416999999999</v>
      </c>
      <c r="K49" s="56">
        <v>2415.904</v>
      </c>
      <c r="L49" s="56">
        <v>524.6635</v>
      </c>
    </row>
    <row r="50" spans="1:12" ht="15" customHeight="1" x14ac:dyDescent="0.2">
      <c r="A50" s="63">
        <v>43466</v>
      </c>
      <c r="B50">
        <v>2019</v>
      </c>
      <c r="C50">
        <v>1</v>
      </c>
      <c r="D50" s="57">
        <v>49.413844086021498</v>
      </c>
      <c r="E50" s="57">
        <v>40.541554331078402</v>
      </c>
      <c r="F50" s="65">
        <v>0.82044931093606399</v>
      </c>
      <c r="G50" s="57">
        <v>21.574999999999999</v>
      </c>
      <c r="H50" s="57">
        <v>26.159032258064499</v>
      </c>
      <c r="I50" s="57">
        <v>52.305661290322597</v>
      </c>
      <c r="J50" s="56">
        <v>12480.7695</v>
      </c>
      <c r="K50" s="56">
        <v>2214.7742499999999</v>
      </c>
      <c r="L50" s="56">
        <v>745.02149999999995</v>
      </c>
    </row>
    <row r="51" spans="1:12" ht="15" customHeight="1" x14ac:dyDescent="0.2">
      <c r="A51" s="63">
        <v>43497</v>
      </c>
      <c r="B51">
        <v>2019</v>
      </c>
      <c r="C51">
        <v>2</v>
      </c>
      <c r="D51" s="57">
        <v>42.814613095238101</v>
      </c>
      <c r="E51" s="57">
        <v>38.873490448716801</v>
      </c>
      <c r="F51" s="65">
        <v>0.90794912387145499</v>
      </c>
      <c r="G51" s="57">
        <v>18.045535714285698</v>
      </c>
      <c r="H51" s="57">
        <v>23.258214285714299</v>
      </c>
      <c r="I51" s="57">
        <v>44.231446428571402</v>
      </c>
      <c r="J51" s="56">
        <v>8839.4252500000002</v>
      </c>
      <c r="K51" s="56">
        <v>1936.55925</v>
      </c>
      <c r="L51" s="56">
        <v>2191.2672499999999</v>
      </c>
    </row>
    <row r="52" spans="1:12" ht="15" customHeight="1" x14ac:dyDescent="0.2">
      <c r="A52" s="63">
        <v>43525</v>
      </c>
      <c r="B52">
        <v>2019</v>
      </c>
      <c r="C52">
        <v>3</v>
      </c>
      <c r="D52" s="57">
        <v>30.614852150537601</v>
      </c>
      <c r="E52" s="57">
        <v>25.451067095767499</v>
      </c>
      <c r="F52" s="65">
        <v>0.83133072048236401</v>
      </c>
      <c r="G52" s="57">
        <v>15.7129032258065</v>
      </c>
      <c r="H52" s="57">
        <v>24.054838709677401</v>
      </c>
      <c r="I52" s="57">
        <v>39.844999999999999</v>
      </c>
      <c r="J52" s="56">
        <v>13698.528</v>
      </c>
      <c r="K52" s="56">
        <v>2544.4205000000002</v>
      </c>
      <c r="L52" s="56">
        <v>3051.9870000000001</v>
      </c>
    </row>
    <row r="53" spans="1:12" ht="15" customHeight="1" x14ac:dyDescent="0.2">
      <c r="A53" s="63">
        <v>43556</v>
      </c>
      <c r="B53">
        <v>2019</v>
      </c>
      <c r="C53">
        <v>4</v>
      </c>
      <c r="D53" s="57">
        <v>36.972819444444497</v>
      </c>
      <c r="E53" s="57">
        <v>34.142152332002901</v>
      </c>
      <c r="F53" s="65">
        <v>0.92343924117837595</v>
      </c>
      <c r="G53" s="57">
        <v>15.1008333333333</v>
      </c>
      <c r="H53" s="57">
        <v>27.687999999999999</v>
      </c>
      <c r="I53" s="57">
        <v>39.892466666666699</v>
      </c>
      <c r="J53" s="56">
        <v>7261.076</v>
      </c>
      <c r="K53" s="56">
        <v>1712.056</v>
      </c>
      <c r="L53" s="56">
        <v>5111.3625000000002</v>
      </c>
    </row>
    <row r="54" spans="1:12" ht="15" customHeight="1" x14ac:dyDescent="0.2">
      <c r="A54" s="63">
        <v>43586</v>
      </c>
      <c r="B54">
        <v>2019</v>
      </c>
      <c r="C54">
        <v>5</v>
      </c>
      <c r="D54" s="57">
        <v>37.832083333333301</v>
      </c>
      <c r="E54" s="57">
        <v>36.7635338796075</v>
      </c>
      <c r="F54" s="65">
        <v>0.97175546891481102</v>
      </c>
      <c r="G54" s="57">
        <v>13.35</v>
      </c>
      <c r="H54" s="57">
        <v>27.02</v>
      </c>
      <c r="I54" s="57">
        <v>36.156999999999996</v>
      </c>
      <c r="J54" s="56">
        <v>6406.81</v>
      </c>
      <c r="K54" s="56">
        <v>1792.0427500000001</v>
      </c>
      <c r="L54" s="56">
        <v>5023.1310000000003</v>
      </c>
    </row>
    <row r="55" spans="1:12" ht="15" customHeight="1" x14ac:dyDescent="0.2">
      <c r="A55" s="63">
        <v>43617</v>
      </c>
      <c r="B55">
        <v>2019</v>
      </c>
      <c r="C55">
        <v>6</v>
      </c>
      <c r="D55" s="57">
        <v>32.504458333333297</v>
      </c>
      <c r="E55" s="57">
        <v>26.708705609467501</v>
      </c>
      <c r="F55" s="65">
        <v>0.82169360693753501</v>
      </c>
      <c r="G55" s="57">
        <v>10.588333333333299</v>
      </c>
      <c r="H55" s="57">
        <v>26.753333333333298</v>
      </c>
      <c r="I55" s="57">
        <v>30.540333333333301</v>
      </c>
      <c r="J55" s="56">
        <v>5119.8487500000001</v>
      </c>
      <c r="K55" s="56">
        <v>1463.9465</v>
      </c>
      <c r="L55" s="56">
        <v>6454.2920000000004</v>
      </c>
    </row>
    <row r="56" spans="1:12" ht="15" customHeight="1" x14ac:dyDescent="0.2">
      <c r="A56" s="63">
        <v>43647</v>
      </c>
      <c r="B56">
        <v>2019</v>
      </c>
      <c r="C56">
        <v>7</v>
      </c>
      <c r="D56" s="57">
        <v>39.713064516129002</v>
      </c>
      <c r="E56" s="57">
        <v>37.316020921177802</v>
      </c>
      <c r="F56" s="65">
        <v>0.93964093116063196</v>
      </c>
      <c r="G56" s="57">
        <v>10.996774193548401</v>
      </c>
      <c r="H56" s="57">
        <v>29.954193548387099</v>
      </c>
      <c r="I56" s="57">
        <v>32.477516129032303</v>
      </c>
      <c r="J56" s="56">
        <v>4889.9184999999998</v>
      </c>
      <c r="K56" s="56">
        <v>1664.0545</v>
      </c>
      <c r="L56" s="56">
        <v>5734.5834999999997</v>
      </c>
    </row>
    <row r="57" spans="1:12" ht="15" customHeight="1" x14ac:dyDescent="0.2">
      <c r="A57" s="63">
        <v>43678</v>
      </c>
      <c r="B57">
        <v>2019</v>
      </c>
      <c r="C57">
        <v>8</v>
      </c>
      <c r="D57" s="57">
        <v>36.818696236559099</v>
      </c>
      <c r="E57" s="57">
        <v>32.347514334653702</v>
      </c>
      <c r="F57" s="65">
        <v>0.87856218826494403</v>
      </c>
      <c r="G57" s="57">
        <v>10.056451612903199</v>
      </c>
      <c r="H57" s="57">
        <v>28.7293548387097</v>
      </c>
      <c r="I57" s="57">
        <v>30.168177419354802</v>
      </c>
      <c r="J57" s="56">
        <v>4461.9944999999998</v>
      </c>
      <c r="K57" s="56">
        <v>1342.4414999999999</v>
      </c>
      <c r="L57" s="56">
        <v>5278.0927499999998</v>
      </c>
    </row>
    <row r="58" spans="1:12" ht="15" customHeight="1" x14ac:dyDescent="0.2">
      <c r="A58" s="63">
        <v>43709</v>
      </c>
      <c r="B58">
        <v>2019</v>
      </c>
      <c r="C58">
        <v>9</v>
      </c>
      <c r="D58" s="57">
        <v>35.765666666666696</v>
      </c>
      <c r="E58" s="57">
        <v>31.889179601539301</v>
      </c>
      <c r="F58" s="65">
        <v>0.89161429308012097</v>
      </c>
      <c r="G58" s="57">
        <v>9.5966666666666693</v>
      </c>
      <c r="H58" s="57">
        <v>27.2216666666667</v>
      </c>
      <c r="I58" s="57">
        <v>28.7209166666667</v>
      </c>
      <c r="J58" s="56">
        <v>7123.83</v>
      </c>
      <c r="K58" s="56">
        <v>1986.4369999999999</v>
      </c>
      <c r="L58" s="56">
        <v>3914.1795000000002</v>
      </c>
    </row>
    <row r="59" spans="1:12" ht="15" customHeight="1" x14ac:dyDescent="0.2">
      <c r="A59" s="63">
        <v>43739</v>
      </c>
      <c r="B59">
        <v>2019</v>
      </c>
      <c r="C59">
        <v>10</v>
      </c>
      <c r="D59" s="57">
        <v>36.9475403225807</v>
      </c>
      <c r="E59" s="57">
        <v>33.5684267180661</v>
      </c>
      <c r="F59" s="65">
        <v>0.90854293479316095</v>
      </c>
      <c r="G59" s="57">
        <v>10.4145161290323</v>
      </c>
      <c r="H59" s="57">
        <v>25.996774193548401</v>
      </c>
      <c r="I59" s="57">
        <v>29.927903225806499</v>
      </c>
      <c r="J59" s="56">
        <v>9333.5842499999999</v>
      </c>
      <c r="K59" s="56">
        <v>2284.3535000000002</v>
      </c>
      <c r="L59" s="56">
        <v>2429.0012499999998</v>
      </c>
    </row>
    <row r="60" spans="1:12" ht="15" customHeight="1" x14ac:dyDescent="0.2">
      <c r="A60" s="63">
        <v>43770</v>
      </c>
      <c r="B60">
        <v>2019</v>
      </c>
      <c r="C60">
        <v>11</v>
      </c>
      <c r="D60" s="57">
        <v>41.004833333333302</v>
      </c>
      <c r="E60" s="57">
        <v>38.253712078409997</v>
      </c>
      <c r="F60" s="65">
        <v>0.93290739087855601</v>
      </c>
      <c r="G60" s="57">
        <v>14.6308333333333</v>
      </c>
      <c r="H60" s="57">
        <v>25.687999999999999</v>
      </c>
      <c r="I60" s="57">
        <v>38.252466666666699</v>
      </c>
      <c r="J60" s="56">
        <v>7841.95</v>
      </c>
      <c r="K60" s="56">
        <v>2222.1509999999998</v>
      </c>
      <c r="L60" s="56">
        <v>1048.3340000000001</v>
      </c>
    </row>
    <row r="61" spans="1:12" ht="15" customHeight="1" x14ac:dyDescent="0.2">
      <c r="A61" s="63">
        <v>43800</v>
      </c>
      <c r="B61">
        <v>2019</v>
      </c>
      <c r="C61">
        <v>12</v>
      </c>
      <c r="D61" s="57">
        <v>31.970618279569901</v>
      </c>
      <c r="E61" s="57">
        <v>27.7563781584001</v>
      </c>
      <c r="F61" s="65">
        <v>0.86818396552991295</v>
      </c>
      <c r="G61" s="57">
        <v>13.220161290322601</v>
      </c>
      <c r="H61" s="57">
        <v>26.423548387096801</v>
      </c>
      <c r="I61" s="57">
        <v>35.688564516128999</v>
      </c>
      <c r="J61" s="56">
        <v>12164.102999999999</v>
      </c>
      <c r="K61" s="56">
        <v>3017.2932500000002</v>
      </c>
      <c r="L61" s="56">
        <v>933.51800000000003</v>
      </c>
    </row>
    <row r="62" spans="1:12" ht="15" customHeight="1" x14ac:dyDescent="0.2">
      <c r="A62" s="63">
        <v>43831</v>
      </c>
      <c r="B62">
        <v>2020</v>
      </c>
      <c r="C62">
        <v>1</v>
      </c>
      <c r="D62" s="57">
        <v>34.978709677419403</v>
      </c>
      <c r="E62" s="57">
        <v>31.711640459739701</v>
      </c>
      <c r="F62" s="65">
        <v>0.90659834945859297</v>
      </c>
      <c r="G62" s="57">
        <v>11.220161290322601</v>
      </c>
      <c r="H62" s="57">
        <v>25.411290322580601</v>
      </c>
      <c r="I62" s="57">
        <v>31.334274193548399</v>
      </c>
      <c r="J62" s="56">
        <v>12694.580250000001</v>
      </c>
      <c r="K62" s="56">
        <v>3284.0909999999999</v>
      </c>
      <c r="L62" s="56">
        <v>1097.1757500000001</v>
      </c>
    </row>
    <row r="63" spans="1:12" ht="15" customHeight="1" x14ac:dyDescent="0.2">
      <c r="A63" s="63">
        <v>43862</v>
      </c>
      <c r="B63">
        <v>2020</v>
      </c>
      <c r="C63">
        <v>2</v>
      </c>
      <c r="D63" s="57">
        <v>21.911839080459799</v>
      </c>
      <c r="E63" s="57">
        <v>18.275404998107</v>
      </c>
      <c r="F63" s="65">
        <v>0.83404249780221995</v>
      </c>
      <c r="G63" s="57">
        <v>9.3887931034482808</v>
      </c>
      <c r="H63" s="57">
        <v>24.919310344827601</v>
      </c>
      <c r="I63" s="57">
        <v>27.499344827586199</v>
      </c>
      <c r="J63" s="56">
        <v>17271.759999999998</v>
      </c>
      <c r="K63" s="56">
        <v>2995.4969999999998</v>
      </c>
      <c r="L63" s="56">
        <v>1671.1732500000001</v>
      </c>
    </row>
    <row r="64" spans="1:12" ht="15" customHeight="1" x14ac:dyDescent="0.2">
      <c r="A64" s="63">
        <v>43891</v>
      </c>
      <c r="B64">
        <v>2020</v>
      </c>
      <c r="C64">
        <v>3</v>
      </c>
      <c r="D64" s="57">
        <v>22.519314516129</v>
      </c>
      <c r="E64" s="57">
        <v>19.592871383521299</v>
      </c>
      <c r="F64" s="65">
        <v>0.87004741505289995</v>
      </c>
      <c r="G64" s="57">
        <v>8.6112903225806505</v>
      </c>
      <c r="H64" s="57">
        <v>20.843548387096799</v>
      </c>
      <c r="I64" s="57">
        <v>24.517822580645198</v>
      </c>
      <c r="J64" s="56">
        <v>11537.575500000001</v>
      </c>
      <c r="K64" s="56">
        <v>2623.9772499999999</v>
      </c>
      <c r="L64" s="56">
        <v>4104.0725000000002</v>
      </c>
    </row>
    <row r="65" spans="1:12" ht="15" customHeight="1" x14ac:dyDescent="0.2">
      <c r="A65" s="63">
        <v>43922</v>
      </c>
      <c r="B65">
        <v>2020</v>
      </c>
      <c r="C65">
        <v>4</v>
      </c>
      <c r="D65" s="57">
        <v>17.049194444444499</v>
      </c>
      <c r="E65" s="57">
        <v>11.423679806873499</v>
      </c>
      <c r="F65" s="65">
        <v>0.67004220311394103</v>
      </c>
      <c r="G65" s="57">
        <v>6.6133333333333297</v>
      </c>
      <c r="H65" s="57">
        <v>21.428000000000001</v>
      </c>
      <c r="I65" s="57">
        <v>20.726466666666699</v>
      </c>
      <c r="J65" s="56">
        <v>6926.8252499999999</v>
      </c>
      <c r="K65" s="56">
        <v>1830.3242499999999</v>
      </c>
      <c r="L65" s="56">
        <v>6316.2687500000002</v>
      </c>
    </row>
    <row r="66" spans="1:12" ht="15" customHeight="1" x14ac:dyDescent="0.2">
      <c r="A66" s="63">
        <v>43952</v>
      </c>
      <c r="B66">
        <v>2020</v>
      </c>
      <c r="C66">
        <v>5</v>
      </c>
      <c r="D66" s="57">
        <v>17.604879032258101</v>
      </c>
      <c r="E66" s="57">
        <v>13.9374377703065</v>
      </c>
      <c r="F66" s="65">
        <v>0.79168040545853102</v>
      </c>
      <c r="G66" s="57">
        <v>4.5048387096774203</v>
      </c>
      <c r="H66" s="57">
        <v>21.247741935483901</v>
      </c>
      <c r="I66" s="57">
        <v>16.446387096774199</v>
      </c>
      <c r="J66" s="56">
        <v>6038.0155000000004</v>
      </c>
      <c r="K66" s="56">
        <v>1569.0184999999999</v>
      </c>
      <c r="L66" s="56">
        <v>6196.5370000000003</v>
      </c>
    </row>
    <row r="67" spans="1:12" ht="15" customHeight="1" x14ac:dyDescent="0.2">
      <c r="A67" s="63">
        <v>43983</v>
      </c>
      <c r="B67">
        <v>2020</v>
      </c>
      <c r="C67">
        <v>6</v>
      </c>
      <c r="D67" s="57">
        <v>26.2291666666667</v>
      </c>
      <c r="E67" s="57">
        <v>23.369001927434301</v>
      </c>
      <c r="F67" s="65">
        <v>0.89095479945738498</v>
      </c>
      <c r="G67" s="57">
        <v>4.9924999999999997</v>
      </c>
      <c r="H67" s="57">
        <v>24.713000000000001</v>
      </c>
      <c r="I67" s="57">
        <v>18.634550000000001</v>
      </c>
      <c r="J67" s="56">
        <v>4942.4727499999999</v>
      </c>
      <c r="K67" s="56">
        <v>1434.6557499999999</v>
      </c>
      <c r="L67" s="56">
        <v>5718.8275000000003</v>
      </c>
    </row>
    <row r="68" spans="1:12" ht="15" customHeight="1" x14ac:dyDescent="0.2">
      <c r="A68" s="63">
        <v>44013</v>
      </c>
      <c r="B68">
        <v>2020</v>
      </c>
      <c r="C68">
        <v>7</v>
      </c>
      <c r="D68" s="57">
        <v>30.0749462365591</v>
      </c>
      <c r="E68" s="57">
        <v>23.334954433521201</v>
      </c>
      <c r="F68" s="65">
        <v>0.77589347126264097</v>
      </c>
      <c r="G68" s="57">
        <v>4.8612903225806496</v>
      </c>
      <c r="H68" s="57">
        <v>28.9835483870968</v>
      </c>
      <c r="I68" s="57">
        <v>19.866822580645199</v>
      </c>
      <c r="J68" s="56">
        <v>5419.6707500000002</v>
      </c>
      <c r="K68" s="56">
        <v>1570.25325</v>
      </c>
      <c r="L68" s="56">
        <v>6284.3239999999996</v>
      </c>
    </row>
    <row r="69" spans="1:12" ht="15" customHeight="1" x14ac:dyDescent="0.2">
      <c r="A69" s="63">
        <v>44044</v>
      </c>
      <c r="B69">
        <v>2020</v>
      </c>
      <c r="C69">
        <v>8</v>
      </c>
      <c r="D69" s="57">
        <v>34.889704301075298</v>
      </c>
      <c r="E69" s="57">
        <v>31.767509737151901</v>
      </c>
      <c r="F69" s="65">
        <v>0.91051243836918605</v>
      </c>
      <c r="G69" s="57">
        <v>7.4346774193548404</v>
      </c>
      <c r="H69" s="57">
        <v>28.312258064516101</v>
      </c>
      <c r="I69" s="57">
        <v>24.778645161290299</v>
      </c>
      <c r="J69" s="56">
        <v>5164.1554999999998</v>
      </c>
      <c r="K69" s="56">
        <v>1566.973</v>
      </c>
      <c r="L69" s="56">
        <v>5438.5429999999997</v>
      </c>
    </row>
    <row r="70" spans="1:12" ht="15" customHeight="1" x14ac:dyDescent="0.2">
      <c r="A70" s="63">
        <v>44075</v>
      </c>
      <c r="B70">
        <v>2020</v>
      </c>
      <c r="C70">
        <v>9</v>
      </c>
      <c r="D70" s="57">
        <v>43.678097222222199</v>
      </c>
      <c r="E70" s="57">
        <v>39.980772358449997</v>
      </c>
      <c r="F70" s="65">
        <v>0.91535059677711705</v>
      </c>
      <c r="G70" s="57">
        <v>11.1625</v>
      </c>
      <c r="H70" s="57">
        <v>28.904</v>
      </c>
      <c r="I70" s="57">
        <v>32.441400000000002</v>
      </c>
      <c r="J70" s="56">
        <v>4647.9127500000004</v>
      </c>
      <c r="K70" s="56">
        <v>1716.6835000000001</v>
      </c>
      <c r="L70" s="56">
        <v>4630.8997499999996</v>
      </c>
    </row>
    <row r="71" spans="1:12" ht="15" customHeight="1" x14ac:dyDescent="0.2">
      <c r="A71" s="63">
        <v>44105</v>
      </c>
      <c r="B71">
        <v>2020</v>
      </c>
      <c r="C71">
        <v>10</v>
      </c>
      <c r="D71" s="57">
        <v>33.955900537634399</v>
      </c>
      <c r="E71" s="57">
        <v>31.617801703310299</v>
      </c>
      <c r="F71" s="65">
        <v>0.931143076834827</v>
      </c>
      <c r="G71" s="57">
        <v>13.912903225806501</v>
      </c>
      <c r="H71" s="57">
        <v>26.218387096774201</v>
      </c>
      <c r="I71" s="57">
        <v>37.002241935483902</v>
      </c>
      <c r="J71" s="56">
        <v>10822.07425</v>
      </c>
      <c r="K71" s="56">
        <v>3087.0127499999999</v>
      </c>
      <c r="L71" s="56">
        <v>2162.5369999999998</v>
      </c>
    </row>
    <row r="72" spans="1:12" ht="15" customHeight="1" x14ac:dyDescent="0.2">
      <c r="A72" s="63">
        <v>44136</v>
      </c>
      <c r="B72">
        <v>2020</v>
      </c>
      <c r="C72">
        <v>11</v>
      </c>
      <c r="D72" s="57">
        <v>38.796513888888903</v>
      </c>
      <c r="E72" s="57">
        <v>33.018809007506903</v>
      </c>
      <c r="F72" s="65">
        <v>0.851076699882647</v>
      </c>
      <c r="G72" s="57">
        <v>13.7741666666667</v>
      </c>
      <c r="H72" s="57">
        <v>27.269666666666701</v>
      </c>
      <c r="I72" s="57">
        <v>37.092716666666703</v>
      </c>
      <c r="J72" s="56">
        <v>8641.7447499999998</v>
      </c>
      <c r="K72" s="56">
        <v>2570.163</v>
      </c>
      <c r="L72" s="56">
        <v>1517.0397499999999</v>
      </c>
    </row>
    <row r="73" spans="1:12" ht="15" customHeight="1" x14ac:dyDescent="0.2">
      <c r="A73" s="63">
        <v>44166</v>
      </c>
      <c r="B73">
        <v>2020</v>
      </c>
      <c r="C73">
        <v>12</v>
      </c>
      <c r="D73" s="57">
        <v>43.545053763440897</v>
      </c>
      <c r="E73" s="57">
        <v>35.885671330268998</v>
      </c>
      <c r="F73" s="65">
        <v>0.82410442125570504</v>
      </c>
      <c r="G73" s="57">
        <v>16.317741935483902</v>
      </c>
      <c r="H73" s="57">
        <v>31.739354838709701</v>
      </c>
      <c r="I73" s="57">
        <v>43.744258064516103</v>
      </c>
      <c r="J73" s="56">
        <v>8997.8994999999995</v>
      </c>
      <c r="K73" s="56">
        <v>2616.8412499999999</v>
      </c>
      <c r="L73" s="56">
        <v>685.01925000000006</v>
      </c>
    </row>
    <row r="74" spans="1:12" ht="15" customHeight="1" x14ac:dyDescent="0.2">
      <c r="A74" s="63">
        <v>44197</v>
      </c>
      <c r="B74">
        <v>2021</v>
      </c>
      <c r="C74">
        <v>1</v>
      </c>
      <c r="D74" s="57">
        <v>52.7931989247312</v>
      </c>
      <c r="E74" s="57">
        <v>47.839893843793497</v>
      </c>
      <c r="F74" s="65">
        <v>0.90617531837766196</v>
      </c>
      <c r="G74" s="57">
        <v>20.420967741935499</v>
      </c>
      <c r="H74" s="57">
        <v>34.000322580645197</v>
      </c>
      <c r="I74" s="57">
        <v>52.742048387096801</v>
      </c>
      <c r="J74" s="56">
        <v>9258.8572499999991</v>
      </c>
      <c r="K74" s="56">
        <v>2263.665</v>
      </c>
      <c r="L74" s="56">
        <v>612.89625000000001</v>
      </c>
    </row>
    <row r="75" spans="1:12" ht="15" customHeight="1" x14ac:dyDescent="0.2">
      <c r="A75" s="63">
        <v>44228</v>
      </c>
      <c r="B75">
        <v>2021</v>
      </c>
      <c r="C75">
        <v>2</v>
      </c>
      <c r="D75" s="57">
        <v>48.706904761904802</v>
      </c>
      <c r="E75" s="57">
        <v>44.961553994501699</v>
      </c>
      <c r="F75" s="65">
        <v>0.92310431579030505</v>
      </c>
      <c r="G75" s="57">
        <v>17.387499999999999</v>
      </c>
      <c r="H75" s="57">
        <v>38.700714285714298</v>
      </c>
      <c r="I75" s="57">
        <v>48.320250000000001</v>
      </c>
      <c r="J75" s="56">
        <v>8469.9989999999998</v>
      </c>
      <c r="K75" s="56">
        <v>2740.652</v>
      </c>
      <c r="L75" s="56">
        <v>1993.4807499999999</v>
      </c>
    </row>
    <row r="76" spans="1:12" ht="15" customHeight="1" x14ac:dyDescent="0.2">
      <c r="A76" s="63">
        <v>44256</v>
      </c>
      <c r="B76">
        <v>2021</v>
      </c>
      <c r="C76">
        <v>3</v>
      </c>
      <c r="D76" s="57">
        <v>47.181680107526901</v>
      </c>
      <c r="E76" s="57">
        <v>36.175090297031403</v>
      </c>
      <c r="F76" s="65">
        <v>0.76671899378293695</v>
      </c>
      <c r="G76" s="57">
        <v>17.791129032258102</v>
      </c>
      <c r="H76" s="57">
        <v>41.889032258064503</v>
      </c>
      <c r="I76" s="57">
        <v>50.2434193548387</v>
      </c>
      <c r="J76" s="56">
        <v>9106.4132499999996</v>
      </c>
      <c r="K76" s="56">
        <v>2357.4875000000002</v>
      </c>
      <c r="L76" s="56">
        <v>4133.3185000000003</v>
      </c>
    </row>
    <row r="77" spans="1:12" ht="15" customHeight="1" x14ac:dyDescent="0.2">
      <c r="A77" s="63">
        <v>44287</v>
      </c>
      <c r="B77">
        <v>2021</v>
      </c>
      <c r="C77">
        <v>4</v>
      </c>
      <c r="D77" s="57">
        <v>53.657152777777803</v>
      </c>
      <c r="E77" s="57">
        <v>46.344995781959398</v>
      </c>
      <c r="F77" s="65">
        <v>0.863724468830804</v>
      </c>
      <c r="G77" s="57">
        <v>20.5833333333333</v>
      </c>
      <c r="H77" s="57">
        <v>45.874666666666698</v>
      </c>
      <c r="I77" s="57">
        <v>57.222799999999999</v>
      </c>
      <c r="J77" s="56">
        <v>7753.67425</v>
      </c>
      <c r="K77" s="56">
        <v>1773.9627499999999</v>
      </c>
      <c r="L77" s="56">
        <v>5463.4132499999996</v>
      </c>
    </row>
    <row r="78" spans="1:12" ht="15" customHeight="1" x14ac:dyDescent="0.2">
      <c r="A78" s="63">
        <v>44317</v>
      </c>
      <c r="B78">
        <v>2021</v>
      </c>
      <c r="C78">
        <v>5</v>
      </c>
      <c r="D78" s="57">
        <v>53.331505376344097</v>
      </c>
      <c r="E78" s="57">
        <v>44.980108834503298</v>
      </c>
      <c r="F78" s="65">
        <v>0.84340594770562904</v>
      </c>
      <c r="G78" s="57">
        <v>25.349193548387099</v>
      </c>
      <c r="H78" s="57">
        <v>53.521612903225801</v>
      </c>
      <c r="I78" s="57">
        <v>69.4309516129032</v>
      </c>
      <c r="J78" s="56">
        <v>8786.0617500000008</v>
      </c>
      <c r="K78" s="56">
        <v>1287.43975</v>
      </c>
      <c r="L78" s="56">
        <v>5897.0587500000001</v>
      </c>
    </row>
    <row r="79" spans="1:12" ht="15" customHeight="1" x14ac:dyDescent="0.2">
      <c r="A79" s="63">
        <v>44348</v>
      </c>
      <c r="B79">
        <v>2021</v>
      </c>
      <c r="C79">
        <v>6</v>
      </c>
      <c r="D79" s="57">
        <v>74.130722222222204</v>
      </c>
      <c r="E79" s="57">
        <v>67.170415946649499</v>
      </c>
      <c r="F79" s="65">
        <v>0.906107669439565</v>
      </c>
      <c r="G79" s="57">
        <v>29.246666666666702</v>
      </c>
      <c r="H79" s="57">
        <v>53.905333333333303</v>
      </c>
      <c r="I79" s="57">
        <v>77.360200000000006</v>
      </c>
      <c r="J79" s="56">
        <v>3380.5619999999999</v>
      </c>
      <c r="K79" s="56">
        <v>1043.8142499999999</v>
      </c>
      <c r="L79" s="56">
        <v>7126.3322500000004</v>
      </c>
    </row>
    <row r="80" spans="1:12" ht="15" customHeight="1" x14ac:dyDescent="0.2">
      <c r="A80" s="63">
        <v>44378</v>
      </c>
      <c r="B80">
        <v>2021</v>
      </c>
      <c r="C80">
        <v>7</v>
      </c>
      <c r="D80" s="57">
        <v>81.294892473118296</v>
      </c>
      <c r="E80" s="57">
        <v>71.884392644276005</v>
      </c>
      <c r="F80" s="65">
        <v>0.88424242233970496</v>
      </c>
      <c r="G80" s="57">
        <v>36.130645161290303</v>
      </c>
      <c r="H80" s="57">
        <v>54.5651612903226</v>
      </c>
      <c r="I80" s="57">
        <v>91.359096774193603</v>
      </c>
      <c r="J80" s="56">
        <v>4660.0777500000004</v>
      </c>
      <c r="K80" s="56">
        <v>1257.7307499999999</v>
      </c>
      <c r="L80" s="56">
        <v>6245.1287499999999</v>
      </c>
    </row>
    <row r="81" spans="1:12" ht="15" customHeight="1" x14ac:dyDescent="0.2">
      <c r="A81" s="63">
        <v>44409</v>
      </c>
      <c r="B81">
        <v>2021</v>
      </c>
      <c r="C81">
        <v>8</v>
      </c>
      <c r="D81" s="57">
        <v>82.811854838709706</v>
      </c>
      <c r="E81" s="57">
        <v>75.739423644884596</v>
      </c>
      <c r="F81" s="65">
        <v>0.91459639193446496</v>
      </c>
      <c r="G81" s="57">
        <v>44.15</v>
      </c>
      <c r="H81" s="57">
        <v>57.485161290322601</v>
      </c>
      <c r="I81" s="57">
        <v>108.419806451613</v>
      </c>
      <c r="J81" s="56">
        <v>6146.4475000000002</v>
      </c>
      <c r="K81" s="56">
        <v>1901.2755</v>
      </c>
      <c r="L81" s="56">
        <v>5278.5024999999996</v>
      </c>
    </row>
    <row r="82" spans="1:12" ht="15" customHeight="1" x14ac:dyDescent="0.2">
      <c r="A82" s="63">
        <v>44440</v>
      </c>
      <c r="B82">
        <v>2021</v>
      </c>
      <c r="C82">
        <v>9</v>
      </c>
      <c r="D82" s="57">
        <v>128.33577777777799</v>
      </c>
      <c r="E82" s="57">
        <v>121.724535599788</v>
      </c>
      <c r="F82" s="65">
        <v>0.94848480842623895</v>
      </c>
      <c r="G82" s="57">
        <v>63.615833333333299</v>
      </c>
      <c r="H82" s="57">
        <v>62.2693333333333</v>
      </c>
      <c r="I82" s="57">
        <v>149.025933333333</v>
      </c>
      <c r="J82" s="56">
        <v>4491.2510000000002</v>
      </c>
      <c r="K82" s="56">
        <v>1362.49775</v>
      </c>
      <c r="L82" s="56">
        <v>4802.8149999999996</v>
      </c>
    </row>
    <row r="83" spans="1:12" ht="15" customHeight="1" x14ac:dyDescent="0.2">
      <c r="A83" s="63">
        <v>44470</v>
      </c>
      <c r="B83">
        <v>2021</v>
      </c>
      <c r="C83">
        <v>10</v>
      </c>
      <c r="D83" s="57">
        <v>139.54338709677401</v>
      </c>
      <c r="E83" s="57">
        <v>116.656362384556</v>
      </c>
      <c r="F83" s="65">
        <v>0.83598631803063495</v>
      </c>
      <c r="G83" s="57">
        <v>85.388709677419399</v>
      </c>
      <c r="H83" s="57">
        <v>60.533548387096801</v>
      </c>
      <c r="I83" s="57">
        <v>191.96416129032301</v>
      </c>
      <c r="J83" s="56">
        <v>10143.9205</v>
      </c>
      <c r="K83" s="56">
        <v>2916.136</v>
      </c>
      <c r="L83" s="56">
        <v>3221.9302499999999</v>
      </c>
    </row>
    <row r="84" spans="1:12" ht="15" customHeight="1" x14ac:dyDescent="0.2">
      <c r="A84" s="63">
        <v>44501</v>
      </c>
      <c r="B84">
        <v>2021</v>
      </c>
      <c r="C84">
        <v>11</v>
      </c>
      <c r="D84" s="57">
        <v>176.24584722222201</v>
      </c>
      <c r="E84" s="57">
        <v>149.321376274042</v>
      </c>
      <c r="F84" s="65">
        <v>0.84723344480149598</v>
      </c>
      <c r="G84" s="57">
        <v>81.738333333333301</v>
      </c>
      <c r="H84" s="57">
        <v>67.275333333333293</v>
      </c>
      <c r="I84" s="57">
        <v>187.02303333333299</v>
      </c>
      <c r="J84" s="56">
        <v>7801.0202499999996</v>
      </c>
      <c r="K84" s="56">
        <v>2531.0762500000001</v>
      </c>
      <c r="L84" s="56">
        <v>1114.2555</v>
      </c>
    </row>
    <row r="85" spans="1:12" ht="15" customHeight="1" x14ac:dyDescent="0.2">
      <c r="A85" s="63">
        <v>44531</v>
      </c>
      <c r="B85">
        <v>2021</v>
      </c>
      <c r="C85">
        <v>12</v>
      </c>
      <c r="D85" s="57">
        <v>220.956626344086</v>
      </c>
      <c r="E85" s="57">
        <v>175.14973186951099</v>
      </c>
      <c r="F85" s="65">
        <v>0.79268829709935196</v>
      </c>
      <c r="G85" s="57">
        <v>109.3</v>
      </c>
      <c r="H85" s="57">
        <v>80.642258064516099</v>
      </c>
      <c r="I85" s="57">
        <v>246.82479032258101</v>
      </c>
      <c r="J85" s="56">
        <v>9660.35275</v>
      </c>
      <c r="K85" s="56">
        <v>2557.3697499999998</v>
      </c>
      <c r="L85" s="56">
        <v>718.22</v>
      </c>
    </row>
    <row r="86" spans="1:12" ht="15" customHeight="1" x14ac:dyDescent="0.2">
      <c r="A86" s="63">
        <v>44562</v>
      </c>
      <c r="B86">
        <v>2022</v>
      </c>
      <c r="C86">
        <v>1</v>
      </c>
      <c r="D86" s="57">
        <v>167.87455645161299</v>
      </c>
      <c r="E86" s="57">
        <v>138.632190343568</v>
      </c>
      <c r="F86" s="65">
        <v>0.82580823010856996</v>
      </c>
      <c r="G86" s="57">
        <v>83.779032258064504</v>
      </c>
      <c r="H86" s="57">
        <v>85.382258064516094</v>
      </c>
      <c r="I86" s="57">
        <v>197.44185483870999</v>
      </c>
      <c r="J86" s="56">
        <v>12900.112499999999</v>
      </c>
      <c r="K86" s="56">
        <v>3133.951</v>
      </c>
      <c r="L86" s="56">
        <v>959.73974999999996</v>
      </c>
    </row>
    <row r="87" spans="1:12" ht="15" customHeight="1" x14ac:dyDescent="0.2">
      <c r="A87" s="63">
        <v>44593</v>
      </c>
      <c r="B87">
        <v>2022</v>
      </c>
      <c r="C87">
        <v>2</v>
      </c>
      <c r="D87" s="57">
        <v>128.77741071428599</v>
      </c>
      <c r="E87" s="57">
        <v>114.395592772443</v>
      </c>
      <c r="F87" s="65">
        <v>0.888320336136039</v>
      </c>
      <c r="G87" s="57">
        <v>80.450892857142904</v>
      </c>
      <c r="H87" s="57">
        <v>92.740357142857206</v>
      </c>
      <c r="I87" s="57">
        <v>193.36091071428601</v>
      </c>
      <c r="J87" s="56">
        <v>17657.721000000001</v>
      </c>
      <c r="K87" s="56">
        <v>2985.8107500000001</v>
      </c>
      <c r="L87" s="56">
        <v>2233.2655</v>
      </c>
    </row>
    <row r="88" spans="1:12" ht="15" customHeight="1" x14ac:dyDescent="0.2">
      <c r="A88" s="63">
        <v>44621</v>
      </c>
      <c r="B88">
        <v>2022</v>
      </c>
      <c r="C88">
        <v>3</v>
      </c>
      <c r="D88" s="57">
        <v>251.759784946237</v>
      </c>
      <c r="E88" s="57">
        <v>207.49440471883599</v>
      </c>
      <c r="F88" s="65">
        <v>0.82417612790361305</v>
      </c>
      <c r="G88" s="57">
        <v>126.67016129032299</v>
      </c>
      <c r="H88" s="57">
        <v>76.359677419354796</v>
      </c>
      <c r="I88" s="57">
        <v>280.06620967741901</v>
      </c>
      <c r="J88" s="56">
        <v>6718.1369999999997</v>
      </c>
      <c r="K88" s="56">
        <v>1404.1077499999999</v>
      </c>
      <c r="L88" s="56">
        <v>5496.8502500000004</v>
      </c>
    </row>
    <row r="89" spans="1:12" ht="15" customHeight="1" x14ac:dyDescent="0.2">
      <c r="A89" s="63">
        <v>44652</v>
      </c>
      <c r="B89">
        <v>2022</v>
      </c>
      <c r="C89">
        <v>4</v>
      </c>
      <c r="D89" s="57">
        <v>166.00181944444401</v>
      </c>
      <c r="E89" s="57">
        <v>135.43921906759101</v>
      </c>
      <c r="F89" s="65">
        <v>0.815889967476643</v>
      </c>
      <c r="G89" s="57">
        <v>102.89166666666701</v>
      </c>
      <c r="H89" s="57">
        <v>83.551000000000002</v>
      </c>
      <c r="I89" s="57">
        <v>235.02618333333299</v>
      </c>
      <c r="J89" s="56">
        <v>9385.6684999999998</v>
      </c>
      <c r="K89" s="56">
        <v>1908.1232500000001</v>
      </c>
      <c r="L89" s="56">
        <v>5590.5209999999997</v>
      </c>
    </row>
    <row r="90" spans="1:12" ht="15" customHeight="1" x14ac:dyDescent="0.2">
      <c r="A90" s="63">
        <v>44682</v>
      </c>
      <c r="B90">
        <v>2022</v>
      </c>
      <c r="C90">
        <v>5</v>
      </c>
      <c r="D90" s="57">
        <v>177.506182795699</v>
      </c>
      <c r="E90" s="57">
        <v>147.280687081428</v>
      </c>
      <c r="F90" s="65">
        <v>0.82972144835620298</v>
      </c>
      <c r="G90" s="57">
        <v>89.608064516129005</v>
      </c>
      <c r="H90" s="57">
        <v>88.733548387096803</v>
      </c>
      <c r="I90" s="57">
        <v>210.27287096774199</v>
      </c>
      <c r="J90" s="56">
        <v>6362.9947499999998</v>
      </c>
      <c r="K90" s="56">
        <v>1480.3119999999999</v>
      </c>
      <c r="L90" s="56">
        <v>7360.4025000000001</v>
      </c>
    </row>
    <row r="91" spans="1:12" ht="15" customHeight="1" x14ac:dyDescent="0.2">
      <c r="A91" s="63">
        <v>44713</v>
      </c>
      <c r="B91">
        <v>2022</v>
      </c>
      <c r="C91">
        <v>6</v>
      </c>
      <c r="D91" s="57">
        <v>218.182013888889</v>
      </c>
      <c r="E91" s="57">
        <v>205.40440862647799</v>
      </c>
      <c r="F91" s="65">
        <v>0.94143602841195895</v>
      </c>
      <c r="G91" s="57">
        <v>105.02</v>
      </c>
      <c r="H91" s="57">
        <v>86.987333333333297</v>
      </c>
      <c r="I91" s="57">
        <v>240.48556666666701</v>
      </c>
      <c r="J91" s="56">
        <v>4372.5214999999998</v>
      </c>
      <c r="K91" s="56">
        <v>1164.29925</v>
      </c>
      <c r="L91" s="56">
        <v>7734.7257499999996</v>
      </c>
    </row>
    <row r="92" spans="1:12" ht="15" customHeight="1" x14ac:dyDescent="0.2">
      <c r="A92" s="63">
        <v>44743</v>
      </c>
      <c r="B92">
        <v>2022</v>
      </c>
      <c r="C92">
        <v>7</v>
      </c>
      <c r="D92" s="57">
        <v>315.26248655913997</v>
      </c>
      <c r="E92" s="57">
        <v>293.84043356165301</v>
      </c>
      <c r="F92" s="65">
        <v>0.93205010456114701</v>
      </c>
      <c r="G92" s="57">
        <v>169.38225806451601</v>
      </c>
      <c r="H92" s="57">
        <v>84.322258064516106</v>
      </c>
      <c r="I92" s="57">
        <v>368.27730645161301</v>
      </c>
      <c r="J92" s="56">
        <v>5458.47325</v>
      </c>
      <c r="K92" s="56">
        <v>1775.68975</v>
      </c>
      <c r="L92" s="56">
        <v>7903.8710000000001</v>
      </c>
    </row>
    <row r="93" spans="1:12" ht="15" customHeight="1" x14ac:dyDescent="0.2">
      <c r="A93" s="63">
        <v>44774</v>
      </c>
      <c r="B93">
        <v>2022</v>
      </c>
      <c r="C93">
        <v>8</v>
      </c>
      <c r="D93" s="57">
        <v>465.51416666666699</v>
      </c>
      <c r="E93" s="57">
        <v>464.63104623474902</v>
      </c>
      <c r="F93" s="65">
        <v>0.99810291394944795</v>
      </c>
      <c r="G93" s="57">
        <v>226.61048387096801</v>
      </c>
      <c r="H93" s="57">
        <v>91.144516129032297</v>
      </c>
      <c r="I93" s="57">
        <v>485.12154838709699</v>
      </c>
      <c r="J93" s="56">
        <v>3516.1657500000001</v>
      </c>
      <c r="K93" s="56">
        <v>1009.17225</v>
      </c>
      <c r="L93" s="56">
        <v>7286.8737499999997</v>
      </c>
    </row>
    <row r="94" spans="1:12" ht="15" customHeight="1" x14ac:dyDescent="0.2">
      <c r="A94" s="63">
        <v>44805</v>
      </c>
      <c r="B94">
        <v>2022</v>
      </c>
      <c r="C94">
        <v>9</v>
      </c>
      <c r="D94" s="57">
        <v>344.93855555555598</v>
      </c>
      <c r="E94" s="57">
        <v>293.85358161749701</v>
      </c>
      <c r="F94" s="65">
        <v>0.85190123540761797</v>
      </c>
      <c r="G94" s="57">
        <v>185.0025</v>
      </c>
      <c r="H94" s="57">
        <v>73.379000000000005</v>
      </c>
      <c r="I94" s="57">
        <v>395.68765000000002</v>
      </c>
      <c r="J94" s="56">
        <v>6178.7162500000004</v>
      </c>
      <c r="K94" s="56">
        <v>1915.1827499999999</v>
      </c>
      <c r="L94" s="56">
        <v>4800.8687499999996</v>
      </c>
    </row>
    <row r="95" spans="1:12" ht="15" customHeight="1" x14ac:dyDescent="0.2">
      <c r="A95" s="63">
        <v>44835</v>
      </c>
      <c r="B95">
        <v>2022</v>
      </c>
      <c r="C95">
        <v>10</v>
      </c>
      <c r="D95" s="57">
        <v>152.74534946236599</v>
      </c>
      <c r="E95" s="57">
        <v>135.27093102646</v>
      </c>
      <c r="F95" s="65">
        <v>0.88559770560994</v>
      </c>
      <c r="G95" s="57">
        <v>69.196774193548407</v>
      </c>
      <c r="H95" s="57">
        <v>73.403548387096805</v>
      </c>
      <c r="I95" s="57">
        <v>164.084790322581</v>
      </c>
      <c r="J95" s="56">
        <v>8474.8872499999998</v>
      </c>
      <c r="K95" s="56">
        <v>2460.9735000000001</v>
      </c>
      <c r="L95" s="56">
        <v>3560.0532499999999</v>
      </c>
    </row>
    <row r="96" spans="1:12" ht="15" customHeight="1" x14ac:dyDescent="0.2">
      <c r="A96" s="63">
        <v>44866</v>
      </c>
      <c r="B96">
        <v>2022</v>
      </c>
      <c r="C96">
        <v>11</v>
      </c>
      <c r="D96" s="57">
        <v>173.928</v>
      </c>
      <c r="E96" s="57">
        <v>143.50629492754399</v>
      </c>
      <c r="F96" s="65">
        <v>0.82509023807290505</v>
      </c>
      <c r="G96" s="57">
        <v>95.253333333333302</v>
      </c>
      <c r="H96" s="57">
        <v>79.312666666666701</v>
      </c>
      <c r="I96" s="57">
        <v>218.26609999999999</v>
      </c>
      <c r="J96" s="56">
        <v>10004.6945</v>
      </c>
      <c r="K96" s="56">
        <v>2814.2449999999999</v>
      </c>
      <c r="L96" s="56">
        <v>1703.98875</v>
      </c>
    </row>
    <row r="97" spans="1:12" ht="15" customHeight="1" x14ac:dyDescent="0.2">
      <c r="A97" s="63">
        <v>44896</v>
      </c>
      <c r="B97">
        <v>2022</v>
      </c>
      <c r="C97">
        <v>12</v>
      </c>
      <c r="D97" s="57">
        <v>251.21689516129001</v>
      </c>
      <c r="E97" s="57">
        <v>155.99766172421201</v>
      </c>
      <c r="F97" s="65">
        <v>0.62096803490886199</v>
      </c>
      <c r="G97" s="57">
        <v>114.88225806451599</v>
      </c>
      <c r="H97" s="57">
        <v>89.320322580645197</v>
      </c>
      <c r="I97" s="57">
        <v>261.02662903225797</v>
      </c>
      <c r="J97" s="56">
        <v>9335.3072499999998</v>
      </c>
      <c r="K97" s="56">
        <v>2678.0032500000002</v>
      </c>
      <c r="L97" s="56">
        <v>656.73599999999999</v>
      </c>
    </row>
    <row r="98" spans="1:12" ht="15" customHeight="1" x14ac:dyDescent="0.2">
      <c r="A98" s="63">
        <v>44927</v>
      </c>
      <c r="B98">
        <v>2023</v>
      </c>
      <c r="C98">
        <v>1</v>
      </c>
      <c r="D98" s="57">
        <v>117.94370967741899</v>
      </c>
      <c r="E98" s="57">
        <v>92.902922378908897</v>
      </c>
      <c r="F98" s="65">
        <v>0.78768865786061903</v>
      </c>
      <c r="G98" s="57">
        <v>63.3774193548387</v>
      </c>
      <c r="H98" s="57">
        <v>83.023548387096795</v>
      </c>
      <c r="I98" s="57">
        <v>155.81308064516099</v>
      </c>
      <c r="J98" s="56">
        <v>14668.878500000001</v>
      </c>
      <c r="K98" s="56">
        <v>2729.114</v>
      </c>
      <c r="L98" s="56">
        <v>854.82050000000004</v>
      </c>
    </row>
    <row r="99" spans="1:12" ht="15" customHeight="1" x14ac:dyDescent="0.2">
      <c r="A99" s="63">
        <v>44958</v>
      </c>
      <c r="B99">
        <v>2023</v>
      </c>
      <c r="C99">
        <v>2</v>
      </c>
      <c r="D99" s="57">
        <v>128.39092261904801</v>
      </c>
      <c r="E99" s="57">
        <v>109.745856174758</v>
      </c>
      <c r="F99" s="65">
        <v>0.854778935582448</v>
      </c>
      <c r="G99" s="57">
        <v>53.532142857142901</v>
      </c>
      <c r="H99" s="57">
        <v>95</v>
      </c>
      <c r="I99" s="57">
        <v>140.314285714286</v>
      </c>
      <c r="J99" s="56">
        <v>10359.588</v>
      </c>
      <c r="K99" s="56">
        <v>1631.1902500000001</v>
      </c>
      <c r="L99" s="56">
        <v>2296.8325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topLeftCell="A2" zoomScale="91" zoomScaleNormal="91" workbookViewId="0">
      <selection activeCell="B22" sqref="B22"/>
    </sheetView>
  </sheetViews>
  <sheetFormatPr baseColWidth="10" defaultColWidth="8.6640625" defaultRowHeight="15" x14ac:dyDescent="0.2"/>
  <cols>
    <col min="1" max="7" width="22" customWidth="1"/>
  </cols>
  <sheetData>
    <row r="1" spans="1:8" ht="17.25" customHeight="1" x14ac:dyDescent="0.25">
      <c r="A1" s="14" t="s">
        <v>399</v>
      </c>
      <c r="B1" s="14"/>
      <c r="C1" s="14"/>
      <c r="D1" s="14"/>
      <c r="E1" s="14"/>
      <c r="F1" s="14"/>
      <c r="G1" s="14"/>
      <c r="H1" s="14"/>
    </row>
    <row r="2" spans="1:8" ht="15" customHeight="1" x14ac:dyDescent="0.2">
      <c r="A2" s="13" t="s">
        <v>400</v>
      </c>
      <c r="B2" s="13"/>
      <c r="C2" s="13"/>
      <c r="D2" s="13"/>
      <c r="E2" s="13"/>
      <c r="F2" s="13"/>
      <c r="G2" s="13"/>
      <c r="H2" s="13"/>
    </row>
    <row r="4" spans="1:8" ht="15" customHeight="1" x14ac:dyDescent="0.2">
      <c r="B4" s="47" t="s">
        <v>352</v>
      </c>
      <c r="C4" s="47" t="s">
        <v>353</v>
      </c>
      <c r="D4" s="47" t="s">
        <v>356</v>
      </c>
      <c r="E4" s="47" t="s">
        <v>393</v>
      </c>
      <c r="F4" s="47" t="s">
        <v>394</v>
      </c>
      <c r="G4" s="47" t="s">
        <v>395</v>
      </c>
    </row>
    <row r="5" spans="1:8" ht="15" customHeight="1" x14ac:dyDescent="0.2">
      <c r="A5" s="28" t="s">
        <v>352</v>
      </c>
      <c r="B5" s="66">
        <v>1</v>
      </c>
      <c r="C5" s="66">
        <v>0.98919081132394404</v>
      </c>
      <c r="D5" s="67">
        <v>-1.86538311794597E-2</v>
      </c>
      <c r="E5" s="66">
        <v>0.99071928307153601</v>
      </c>
      <c r="F5" s="68">
        <v>0.81128120824160499</v>
      </c>
      <c r="G5" s="66">
        <v>0.99090326677488205</v>
      </c>
    </row>
    <row r="6" spans="1:8" ht="15" customHeight="1" x14ac:dyDescent="0.2">
      <c r="A6" s="28" t="s">
        <v>353</v>
      </c>
      <c r="B6" s="66">
        <v>0.98919081132394404</v>
      </c>
      <c r="C6" s="66">
        <v>1</v>
      </c>
      <c r="D6" s="67">
        <v>8.3842908397228702E-2</v>
      </c>
      <c r="E6" s="66">
        <v>0.978990943668683</v>
      </c>
      <c r="F6" s="68">
        <v>0.77534086795095603</v>
      </c>
      <c r="G6" s="66">
        <v>0.97655316038837603</v>
      </c>
    </row>
    <row r="7" spans="1:8" ht="15" customHeight="1" x14ac:dyDescent="0.2">
      <c r="A7" s="28" t="s">
        <v>356</v>
      </c>
      <c r="B7" s="67">
        <v>-1.86538311794597E-2</v>
      </c>
      <c r="C7" s="67">
        <v>8.3842908397228702E-2</v>
      </c>
      <c r="D7" s="66">
        <v>1</v>
      </c>
      <c r="E7" s="67">
        <v>-3.25063739428849E-2</v>
      </c>
      <c r="F7" s="67">
        <v>-0.13066127604733699</v>
      </c>
      <c r="G7" s="67">
        <v>-4.2861212465944903E-2</v>
      </c>
    </row>
    <row r="8" spans="1:8" ht="15" customHeight="1" x14ac:dyDescent="0.2">
      <c r="A8" s="28" t="s">
        <v>393</v>
      </c>
      <c r="B8" s="66">
        <v>0.99071928307153601</v>
      </c>
      <c r="C8" s="66">
        <v>0.978990943668683</v>
      </c>
      <c r="D8" s="67">
        <v>-3.25063739428849E-2</v>
      </c>
      <c r="E8" s="66">
        <v>1</v>
      </c>
      <c r="F8" s="68">
        <v>0.79901550320388903</v>
      </c>
      <c r="G8" s="66">
        <v>0.99820974203307</v>
      </c>
    </row>
    <row r="9" spans="1:8" ht="15" customHeight="1" x14ac:dyDescent="0.2">
      <c r="A9" s="28" t="s">
        <v>394</v>
      </c>
      <c r="B9" s="68">
        <v>0.81128120824160499</v>
      </c>
      <c r="C9" s="68">
        <v>0.77534086795095603</v>
      </c>
      <c r="D9" s="67">
        <v>-0.13066127604733699</v>
      </c>
      <c r="E9" s="68">
        <v>0.79901550320388903</v>
      </c>
      <c r="F9" s="66">
        <v>1</v>
      </c>
      <c r="G9" s="68">
        <v>0.83354981183174703</v>
      </c>
    </row>
    <row r="10" spans="1:8" ht="15" customHeight="1" x14ac:dyDescent="0.2">
      <c r="A10" s="28" t="s">
        <v>395</v>
      </c>
      <c r="B10" s="66">
        <v>0.99090326677488205</v>
      </c>
      <c r="C10" s="66">
        <v>0.97655316038837603</v>
      </c>
      <c r="D10" s="67">
        <v>-4.2861212465944903E-2</v>
      </c>
      <c r="E10" s="66">
        <v>0.99820974203307</v>
      </c>
      <c r="F10" s="68">
        <v>0.83354981183174703</v>
      </c>
      <c r="G10" s="66">
        <v>1</v>
      </c>
    </row>
    <row r="13" spans="1:8" ht="15" customHeight="1" x14ac:dyDescent="0.2">
      <c r="A13" s="28" t="s">
        <v>401</v>
      </c>
    </row>
    <row r="14" spans="1:8" ht="69.75" customHeight="1" x14ac:dyDescent="0.2">
      <c r="A14" s="12" t="s">
        <v>402</v>
      </c>
      <c r="B14" s="12"/>
      <c r="C14" s="12"/>
      <c r="D14" s="12"/>
      <c r="E14" s="12"/>
      <c r="F14" s="12"/>
      <c r="G14" s="12"/>
      <c r="H14" s="12"/>
    </row>
  </sheetData>
  <mergeCells count="3">
    <mergeCell ref="A1:H1"/>
    <mergeCell ref="A2:H2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0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2" width="10" customWidth="1"/>
    <col min="3" max="5" width="18" customWidth="1"/>
    <col min="6" max="7" width="10" customWidth="1"/>
  </cols>
  <sheetData>
    <row r="1" spans="1:7" ht="17.25" customHeight="1" x14ac:dyDescent="0.25">
      <c r="A1" s="14" t="s">
        <v>403</v>
      </c>
      <c r="B1" s="14"/>
      <c r="C1" s="14"/>
      <c r="D1" s="14"/>
      <c r="E1" s="14"/>
      <c r="F1" s="14"/>
      <c r="G1" s="14"/>
    </row>
    <row r="2" spans="1:7" ht="15" customHeight="1" x14ac:dyDescent="0.2">
      <c r="A2" s="13" t="s">
        <v>404</v>
      </c>
      <c r="B2" s="13"/>
      <c r="C2" s="13"/>
      <c r="D2" s="13"/>
      <c r="E2" s="13"/>
      <c r="F2" s="13"/>
      <c r="G2" s="13"/>
    </row>
    <row r="4" spans="1:7" ht="15" customHeight="1" x14ac:dyDescent="0.2">
      <c r="A4" s="69" t="s">
        <v>405</v>
      </c>
      <c r="B4" s="69" t="s">
        <v>406</v>
      </c>
      <c r="C4" s="69" t="s">
        <v>407</v>
      </c>
      <c r="D4" s="69" t="s">
        <v>408</v>
      </c>
      <c r="E4" s="69" t="s">
        <v>409</v>
      </c>
      <c r="F4" s="69" t="s">
        <v>410</v>
      </c>
      <c r="G4" s="69" t="s">
        <v>411</v>
      </c>
    </row>
    <row r="5" spans="1:7" ht="15" customHeight="1" x14ac:dyDescent="0.2">
      <c r="A5" s="28" t="s">
        <v>412</v>
      </c>
      <c r="B5">
        <v>98</v>
      </c>
      <c r="C5">
        <v>4.3499999999999996</v>
      </c>
      <c r="D5">
        <v>1.913</v>
      </c>
      <c r="F5" s="70">
        <v>0.97899999999999998</v>
      </c>
      <c r="G5" s="70">
        <v>0.97899999999999998</v>
      </c>
    </row>
    <row r="6" spans="1:7" ht="15" customHeight="1" x14ac:dyDescent="0.2">
      <c r="C6" s="24" t="s">
        <v>413</v>
      </c>
      <c r="D6" s="24" t="s">
        <v>414</v>
      </c>
    </row>
    <row r="8" spans="1:7" ht="15" customHeight="1" x14ac:dyDescent="0.2">
      <c r="A8" s="28" t="s">
        <v>415</v>
      </c>
      <c r="B8">
        <v>73</v>
      </c>
      <c r="C8">
        <v>4.0599999999999996</v>
      </c>
      <c r="D8">
        <v>1.81</v>
      </c>
      <c r="E8">
        <v>0.16800000000000001</v>
      </c>
      <c r="F8" s="70">
        <v>0.98299999999999998</v>
      </c>
      <c r="G8" s="70">
        <v>0.98199999999999998</v>
      </c>
    </row>
    <row r="9" spans="1:7" ht="15" customHeight="1" x14ac:dyDescent="0.2">
      <c r="C9" s="24" t="s">
        <v>416</v>
      </c>
      <c r="D9" s="24" t="s">
        <v>417</v>
      </c>
      <c r="E9" s="24" t="s">
        <v>418</v>
      </c>
    </row>
    <row r="11" spans="1:7" ht="15" customHeight="1" x14ac:dyDescent="0.2">
      <c r="A11" s="28" t="s">
        <v>419</v>
      </c>
      <c r="B11">
        <v>73</v>
      </c>
      <c r="C11">
        <v>5.76</v>
      </c>
      <c r="D11">
        <v>1.7050000000000001</v>
      </c>
      <c r="E11">
        <v>-5.2999999999999999E-2</v>
      </c>
      <c r="F11" s="70">
        <v>0.95899999999999996</v>
      </c>
      <c r="G11" s="70">
        <v>0.95699999999999996</v>
      </c>
    </row>
    <row r="12" spans="1:7" ht="15" customHeight="1" x14ac:dyDescent="0.2">
      <c r="C12" s="24" t="s">
        <v>420</v>
      </c>
      <c r="D12" s="24" t="s">
        <v>421</v>
      </c>
      <c r="E12" s="24" t="s">
        <v>422</v>
      </c>
    </row>
    <row r="14" spans="1:7" ht="15" customHeight="1" x14ac:dyDescent="0.2">
      <c r="A14" s="28" t="s">
        <v>423</v>
      </c>
      <c r="B14">
        <v>73</v>
      </c>
      <c r="C14" s="71">
        <v>0.88380000000000003</v>
      </c>
      <c r="D14" s="72">
        <v>2.9799999999999998E-4</v>
      </c>
      <c r="E14" s="72">
        <v>-7.0100000000000002E-4</v>
      </c>
      <c r="F14">
        <v>3.1E-2</v>
      </c>
      <c r="G14">
        <v>4.0000000000000001E-3</v>
      </c>
    </row>
    <row r="15" spans="1:7" ht="15" customHeight="1" x14ac:dyDescent="0.2">
      <c r="C15" s="24" t="s">
        <v>424</v>
      </c>
      <c r="D15" s="24" t="s">
        <v>425</v>
      </c>
      <c r="E15" s="24" t="s">
        <v>426</v>
      </c>
    </row>
    <row r="17" spans="1:7" ht="15" customHeight="1" x14ac:dyDescent="0.2">
      <c r="A17" s="28" t="s">
        <v>427</v>
      </c>
      <c r="B17">
        <v>73</v>
      </c>
      <c r="C17">
        <v>0.9355</v>
      </c>
      <c r="D17" s="72">
        <v>8.0000000000000007E-5</v>
      </c>
      <c r="E17" s="72">
        <v>-3.0600000000000001E-4</v>
      </c>
      <c r="F17">
        <v>0.14299999999999999</v>
      </c>
      <c r="G17">
        <v>0.105</v>
      </c>
    </row>
    <row r="18" spans="1:7" ht="15" customHeight="1" x14ac:dyDescent="0.2">
      <c r="A18" s="24" t="s">
        <v>428</v>
      </c>
    </row>
    <row r="24" spans="1:7" ht="15" customHeight="1" x14ac:dyDescent="0.2">
      <c r="A24" s="28" t="s">
        <v>429</v>
      </c>
      <c r="B24">
        <v>73</v>
      </c>
      <c r="C24">
        <v>0.85029999999999994</v>
      </c>
      <c r="D24" s="72">
        <v>1.9629999999999999E-3</v>
      </c>
      <c r="E24" s="72">
        <v>-3.6600000000000001E-4</v>
      </c>
      <c r="F24">
        <v>5.2999999999999999E-2</v>
      </c>
      <c r="G24">
        <v>-3.0000000000000001E-3</v>
      </c>
    </row>
    <row r="25" spans="1:7" ht="15" customHeight="1" x14ac:dyDescent="0.2">
      <c r="A25" s="24" t="s">
        <v>430</v>
      </c>
    </row>
    <row r="27" spans="1:7" ht="15" customHeight="1" x14ac:dyDescent="0.2">
      <c r="A27" s="28" t="s">
        <v>431</v>
      </c>
    </row>
    <row r="28" spans="1:7" ht="15" customHeight="1" x14ac:dyDescent="0.2">
      <c r="A28" s="47" t="s">
        <v>432</v>
      </c>
      <c r="B28" s="47" t="s">
        <v>433</v>
      </c>
      <c r="C28" s="47" t="s">
        <v>434</v>
      </c>
      <c r="D28" s="47" t="s">
        <v>435</v>
      </c>
      <c r="E28" s="47" t="s">
        <v>410</v>
      </c>
    </row>
    <row r="29" spans="1:7" ht="15" customHeight="1" x14ac:dyDescent="0.2">
      <c r="A29" s="28" t="s">
        <v>436</v>
      </c>
      <c r="B29">
        <v>20</v>
      </c>
      <c r="C29">
        <v>1.62</v>
      </c>
      <c r="D29">
        <v>1.9419999999999999</v>
      </c>
      <c r="E29">
        <v>0.96299999999999997</v>
      </c>
    </row>
    <row r="30" spans="1:7" ht="15" customHeight="1" x14ac:dyDescent="0.2">
      <c r="C30" s="24" t="s">
        <v>437</v>
      </c>
      <c r="D30" s="24" t="s">
        <v>438</v>
      </c>
    </row>
    <row r="31" spans="1:7" ht="15" customHeight="1" x14ac:dyDescent="0.2">
      <c r="A31" s="28" t="s">
        <v>439</v>
      </c>
      <c r="B31">
        <v>78</v>
      </c>
      <c r="C31">
        <v>15.53</v>
      </c>
      <c r="D31">
        <v>1.2390000000000001</v>
      </c>
      <c r="E31">
        <v>0.41799999999999998</v>
      </c>
    </row>
    <row r="32" spans="1:7" ht="15" customHeight="1" x14ac:dyDescent="0.2">
      <c r="C32" s="24" t="s">
        <v>440</v>
      </c>
      <c r="D32" s="24" t="s">
        <v>441</v>
      </c>
    </row>
    <row r="34" spans="1:7" ht="15" customHeight="1" x14ac:dyDescent="0.2">
      <c r="A34" s="28" t="s">
        <v>442</v>
      </c>
    </row>
    <row r="35" spans="1:7" ht="54.75" customHeight="1" x14ac:dyDescent="0.2">
      <c r="A35" s="12" t="s">
        <v>443</v>
      </c>
      <c r="B35" s="12"/>
      <c r="C35" s="12"/>
      <c r="D35" s="12"/>
      <c r="E35" s="12"/>
      <c r="F35" s="12"/>
      <c r="G35" s="12"/>
    </row>
    <row r="36" spans="1:7" ht="54.75" customHeight="1" x14ac:dyDescent="0.2">
      <c r="A36" s="12" t="s">
        <v>444</v>
      </c>
      <c r="B36" s="12"/>
      <c r="C36" s="12"/>
      <c r="D36" s="12"/>
      <c r="E36" s="12"/>
      <c r="F36" s="12"/>
      <c r="G36" s="12"/>
    </row>
    <row r="37" spans="1:7" ht="54.75" customHeight="1" x14ac:dyDescent="0.2">
      <c r="A37" s="12" t="s">
        <v>445</v>
      </c>
      <c r="B37" s="12"/>
      <c r="C37" s="12"/>
      <c r="D37" s="12"/>
      <c r="E37" s="12"/>
      <c r="F37" s="12"/>
      <c r="G37" s="12"/>
    </row>
    <row r="38" spans="1:7" ht="54.75" customHeight="1" x14ac:dyDescent="0.2">
      <c r="A38" s="12" t="s">
        <v>446</v>
      </c>
      <c r="B38" s="12"/>
      <c r="C38" s="12"/>
      <c r="D38" s="12"/>
      <c r="E38" s="12"/>
      <c r="F38" s="12"/>
      <c r="G38" s="12"/>
    </row>
    <row r="39" spans="1:7" ht="54.75" customHeight="1" x14ac:dyDescent="0.2">
      <c r="A39" s="12" t="s">
        <v>447</v>
      </c>
      <c r="B39" s="12"/>
      <c r="C39" s="12"/>
      <c r="D39" s="12"/>
      <c r="E39" s="12"/>
      <c r="F39" s="12"/>
      <c r="G39" s="12"/>
    </row>
    <row r="40" spans="1:7" ht="54.75" customHeight="1" x14ac:dyDescent="0.2">
      <c r="A40" s="12" t="s">
        <v>448</v>
      </c>
      <c r="B40" s="12"/>
      <c r="C40" s="12"/>
      <c r="D40" s="12"/>
      <c r="E40" s="12"/>
      <c r="F40" s="12"/>
      <c r="G40" s="12"/>
    </row>
  </sheetData>
  <mergeCells count="8">
    <mergeCell ref="A38:G38"/>
    <mergeCell ref="A39:G39"/>
    <mergeCell ref="A40:G40"/>
    <mergeCell ref="A1:G1"/>
    <mergeCell ref="A2:G2"/>
    <mergeCell ref="A35:G35"/>
    <mergeCell ref="A36:G36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zoomScale="150" zoomScaleNormal="150" workbookViewId="0"/>
  </sheetViews>
  <sheetFormatPr baseColWidth="10" defaultColWidth="8.6640625" defaultRowHeight="15" x14ac:dyDescent="0.2"/>
  <cols>
    <col min="1" max="1" width="8" customWidth="1"/>
    <col min="2" max="2" width="38" customWidth="1"/>
    <col min="3" max="3" width="20" customWidth="1"/>
    <col min="4" max="4" width="55" customWidth="1"/>
    <col min="5" max="5" width="18" customWidth="1"/>
    <col min="6" max="6" width="10" customWidth="1"/>
  </cols>
  <sheetData>
    <row r="1" spans="1:6" ht="18.75" customHeight="1" x14ac:dyDescent="0.25">
      <c r="A1" s="14" t="s">
        <v>449</v>
      </c>
      <c r="B1" s="14"/>
      <c r="C1" s="14"/>
      <c r="D1" s="14"/>
      <c r="E1" s="14"/>
      <c r="F1" s="14"/>
    </row>
    <row r="3" spans="1:6" ht="48" customHeight="1" x14ac:dyDescent="0.2">
      <c r="A3" s="28" t="s">
        <v>450</v>
      </c>
      <c r="B3" s="2" t="s">
        <v>451</v>
      </c>
      <c r="C3" s="2"/>
      <c r="D3" s="2"/>
      <c r="E3" s="2"/>
      <c r="F3" s="2"/>
    </row>
    <row r="5" spans="1:6" ht="15" customHeight="1" x14ac:dyDescent="0.2">
      <c r="A5" s="73" t="s">
        <v>452</v>
      </c>
      <c r="B5" s="73" t="s">
        <v>453</v>
      </c>
      <c r="C5" s="73" t="s">
        <v>454</v>
      </c>
      <c r="D5" s="73" t="s">
        <v>455</v>
      </c>
      <c r="E5" s="73" t="s">
        <v>456</v>
      </c>
      <c r="F5" s="73" t="s">
        <v>457</v>
      </c>
    </row>
    <row r="6" spans="1:6" ht="15" customHeight="1" x14ac:dyDescent="0.2">
      <c r="A6" s="74">
        <v>2022</v>
      </c>
      <c r="B6" s="75" t="s">
        <v>458</v>
      </c>
      <c r="C6" s="76">
        <v>235.45</v>
      </c>
      <c r="D6" s="75" t="s">
        <v>459</v>
      </c>
      <c r="E6" s="76">
        <v>235.44</v>
      </c>
      <c r="F6" s="77">
        <v>-4.2471862391127199E-5</v>
      </c>
    </row>
    <row r="7" spans="1:6" ht="15" customHeight="1" x14ac:dyDescent="0.2">
      <c r="A7" s="74">
        <v>2019</v>
      </c>
      <c r="B7" s="75" t="s">
        <v>460</v>
      </c>
      <c r="C7" s="76">
        <v>32.81</v>
      </c>
      <c r="D7" s="75" t="s">
        <v>461</v>
      </c>
      <c r="E7" s="76">
        <v>32.36</v>
      </c>
      <c r="F7" s="77">
        <v>-1.37153306918623E-2</v>
      </c>
    </row>
    <row r="8" spans="1:6" ht="15" customHeight="1" x14ac:dyDescent="0.2">
      <c r="A8" s="74">
        <v>2022</v>
      </c>
      <c r="B8" s="75" t="s">
        <v>462</v>
      </c>
      <c r="C8" s="76">
        <v>162.69999999999999</v>
      </c>
      <c r="D8" s="75" t="s">
        <v>463</v>
      </c>
      <c r="E8" s="76">
        <v>168.38</v>
      </c>
      <c r="F8" s="77">
        <v>3.49108789182545E-2</v>
      </c>
    </row>
    <row r="11" spans="1:6" ht="15" customHeight="1" x14ac:dyDescent="0.2">
      <c r="A11" s="28" t="s">
        <v>464</v>
      </c>
    </row>
    <row r="12" spans="1:6" ht="120" customHeight="1" x14ac:dyDescent="0.2">
      <c r="A12" s="12" t="s">
        <v>465</v>
      </c>
      <c r="B12" s="12"/>
      <c r="C12" s="12"/>
      <c r="D12" s="12"/>
      <c r="E12" s="12"/>
      <c r="F12" s="12"/>
    </row>
  </sheetData>
  <mergeCells count="3">
    <mergeCell ref="A1:F1"/>
    <mergeCell ref="B3:F3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9940B"/>
  </sheetPr>
  <dimension ref="A1:B21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2" width="110" customWidth="1"/>
  </cols>
  <sheetData>
    <row r="1" spans="1:2" ht="19.5" customHeight="1" x14ac:dyDescent="0.2">
      <c r="A1" s="15" t="s">
        <v>98</v>
      </c>
    </row>
    <row r="3" spans="1:2" ht="15" customHeight="1" x14ac:dyDescent="0.2">
      <c r="A3" s="16"/>
      <c r="B3" s="17"/>
    </row>
    <row r="4" spans="1:2" ht="15" customHeight="1" x14ac:dyDescent="0.2">
      <c r="A4" s="18" t="s">
        <v>466</v>
      </c>
      <c r="B4" s="17"/>
    </row>
    <row r="5" spans="1:2" ht="45.75" customHeight="1" x14ac:dyDescent="0.2">
      <c r="A5" s="16"/>
      <c r="B5" s="17" t="s">
        <v>467</v>
      </c>
    </row>
    <row r="6" spans="1:2" ht="45.75" customHeight="1" x14ac:dyDescent="0.2">
      <c r="A6" s="16"/>
      <c r="B6" s="17" t="s">
        <v>468</v>
      </c>
    </row>
    <row r="7" spans="1:2" ht="15" customHeight="1" x14ac:dyDescent="0.2">
      <c r="A7" s="16"/>
      <c r="B7" s="17"/>
    </row>
    <row r="8" spans="1:2" ht="15" customHeight="1" x14ac:dyDescent="0.2">
      <c r="A8" s="18" t="s">
        <v>469</v>
      </c>
      <c r="B8" s="17"/>
    </row>
    <row r="9" spans="1:2" ht="34.5" customHeight="1" x14ac:dyDescent="0.2">
      <c r="A9" s="16"/>
      <c r="B9" s="17" t="s">
        <v>470</v>
      </c>
    </row>
    <row r="10" spans="1:2" ht="15" customHeight="1" x14ac:dyDescent="0.2">
      <c r="A10" s="16"/>
      <c r="B10" s="17"/>
    </row>
    <row r="11" spans="1:2" ht="15" customHeight="1" x14ac:dyDescent="0.2">
      <c r="A11" s="18" t="s">
        <v>471</v>
      </c>
      <c r="B11" s="17"/>
    </row>
    <row r="12" spans="1:2" ht="45.75" customHeight="1" x14ac:dyDescent="0.2">
      <c r="A12" s="16"/>
      <c r="B12" s="17" t="s">
        <v>472</v>
      </c>
    </row>
    <row r="13" spans="1:2" ht="15" customHeight="1" x14ac:dyDescent="0.2">
      <c r="A13" s="16"/>
      <c r="B13" s="17"/>
    </row>
    <row r="14" spans="1:2" ht="15" customHeight="1" x14ac:dyDescent="0.2">
      <c r="A14" s="18" t="s">
        <v>473</v>
      </c>
      <c r="B14" s="17"/>
    </row>
    <row r="15" spans="1:2" ht="34.5" customHeight="1" x14ac:dyDescent="0.2">
      <c r="A15" s="16"/>
      <c r="B15" s="17" t="s">
        <v>474</v>
      </c>
    </row>
    <row r="16" spans="1:2" ht="15" customHeight="1" x14ac:dyDescent="0.2">
      <c r="A16" s="16"/>
      <c r="B16" s="17"/>
    </row>
    <row r="17" spans="1:2" ht="15" customHeight="1" x14ac:dyDescent="0.2">
      <c r="A17" s="18" t="s">
        <v>475</v>
      </c>
      <c r="B17" s="17"/>
    </row>
    <row r="18" spans="1:2" ht="23.25" customHeight="1" x14ac:dyDescent="0.2">
      <c r="A18" s="16"/>
      <c r="B18" s="17" t="s">
        <v>476</v>
      </c>
    </row>
    <row r="19" spans="1:2" ht="15" customHeight="1" x14ac:dyDescent="0.2">
      <c r="A19" s="16"/>
      <c r="B19" s="17"/>
    </row>
    <row r="20" spans="1:2" ht="15" customHeight="1" x14ac:dyDescent="0.2">
      <c r="A20" s="18" t="s">
        <v>477</v>
      </c>
      <c r="B20" s="17"/>
    </row>
    <row r="21" spans="1:2" ht="23.25" customHeight="1" x14ac:dyDescent="0.2">
      <c r="A21" s="16"/>
      <c r="B21" s="17" t="s">
        <v>478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3"/>
  <sheetViews>
    <sheetView zoomScaleNormal="100" workbookViewId="0">
      <selection activeCell="AB11" sqref="AB11"/>
    </sheetView>
  </sheetViews>
  <sheetFormatPr baseColWidth="10" defaultColWidth="8.6640625" defaultRowHeight="15" x14ac:dyDescent="0.2"/>
  <sheetData>
    <row r="1" spans="1:29" ht="15" customHeight="1" x14ac:dyDescent="0.2">
      <c r="A1" t="s">
        <v>479</v>
      </c>
    </row>
    <row r="2" spans="1:29" ht="15" customHeight="1" x14ac:dyDescent="0.2">
      <c r="A2" s="28" t="s">
        <v>334</v>
      </c>
      <c r="B2" s="28" t="s">
        <v>352</v>
      </c>
      <c r="C2" s="28" t="s">
        <v>353</v>
      </c>
      <c r="D2" s="28" t="s">
        <v>354</v>
      </c>
      <c r="E2" s="28" t="s">
        <v>355</v>
      </c>
      <c r="F2" s="28" t="s">
        <v>356</v>
      </c>
      <c r="G2" s="28" t="s">
        <v>357</v>
      </c>
      <c r="H2" s="28" t="s">
        <v>358</v>
      </c>
      <c r="I2" s="28" t="s">
        <v>359</v>
      </c>
      <c r="J2" s="28" t="s">
        <v>360</v>
      </c>
      <c r="K2" s="28" t="s">
        <v>361</v>
      </c>
      <c r="L2" s="28" t="s">
        <v>362</v>
      </c>
      <c r="M2" s="28" t="s">
        <v>347</v>
      </c>
      <c r="N2" s="28" t="s">
        <v>348</v>
      </c>
      <c r="O2" s="28" t="s">
        <v>349</v>
      </c>
      <c r="P2" s="28" t="s">
        <v>350</v>
      </c>
      <c r="Q2" s="28" t="s">
        <v>351</v>
      </c>
      <c r="R2" s="28" t="s">
        <v>363</v>
      </c>
      <c r="S2" s="28" t="s">
        <v>480</v>
      </c>
      <c r="T2" s="28" t="s">
        <v>481</v>
      </c>
      <c r="U2" t="s">
        <v>482</v>
      </c>
      <c r="V2" t="s">
        <v>483</v>
      </c>
      <c r="W2" t="s">
        <v>484</v>
      </c>
    </row>
    <row r="3" spans="1:29" ht="15" customHeight="1" x14ac:dyDescent="0.2">
      <c r="A3" t="s">
        <v>485</v>
      </c>
      <c r="B3">
        <v>31.8340103866128</v>
      </c>
      <c r="C3">
        <v>26.242986080108398</v>
      </c>
      <c r="D3">
        <v>29.227184129712001</v>
      </c>
      <c r="E3">
        <v>30.834853216207801</v>
      </c>
      <c r="F3">
        <v>0.82436946402280598</v>
      </c>
      <c r="G3">
        <v>0.91811191159260697</v>
      </c>
      <c r="H3">
        <v>0.96861353130596595</v>
      </c>
      <c r="I3">
        <v>22.824529617327801</v>
      </c>
      <c r="J3">
        <v>31.692604826650399</v>
      </c>
      <c r="K3">
        <v>10.5385495341524</v>
      </c>
      <c r="L3">
        <v>1.2694748990190401E-2</v>
      </c>
      <c r="M3">
        <v>34897.764745</v>
      </c>
      <c r="N3">
        <v>1588.7</v>
      </c>
      <c r="O3">
        <v>38105.723955000001</v>
      </c>
      <c r="P3">
        <v>19.815558904109601</v>
      </c>
      <c r="R3">
        <v>69.018906999999999</v>
      </c>
      <c r="S3">
        <v>45</v>
      </c>
      <c r="T3">
        <v>65</v>
      </c>
      <c r="U3">
        <v>55</v>
      </c>
      <c r="V3">
        <v>70</v>
      </c>
      <c r="W3">
        <v>62.5</v>
      </c>
    </row>
    <row r="4" spans="1:29" ht="15" customHeight="1" x14ac:dyDescent="0.2">
      <c r="A4" t="s">
        <v>486</v>
      </c>
      <c r="B4">
        <v>28.982166438979998</v>
      </c>
      <c r="C4">
        <v>24.4719585063952</v>
      </c>
      <c r="D4">
        <v>26.653935404072001</v>
      </c>
      <c r="E4">
        <v>26.747588729586202</v>
      </c>
      <c r="F4">
        <v>0.844379889885709</v>
      </c>
      <c r="G4">
        <v>0.91966677025991295</v>
      </c>
      <c r="H4">
        <v>0.92289818243579302</v>
      </c>
      <c r="I4">
        <v>20.2493307457943</v>
      </c>
      <c r="J4">
        <v>36.389778813278902</v>
      </c>
      <c r="K4">
        <v>10.1206105721845</v>
      </c>
      <c r="L4">
        <v>1.10428051001822E-2</v>
      </c>
      <c r="M4">
        <v>34953.264745</v>
      </c>
      <c r="N4">
        <v>3273.22</v>
      </c>
      <c r="O4">
        <v>38105.723955000001</v>
      </c>
      <c r="P4">
        <v>14.0402322404372</v>
      </c>
      <c r="R4">
        <v>64.008329750000001</v>
      </c>
      <c r="S4">
        <v>45</v>
      </c>
      <c r="T4">
        <v>65</v>
      </c>
      <c r="U4">
        <v>55</v>
      </c>
      <c r="V4">
        <v>70</v>
      </c>
      <c r="W4">
        <v>62.5</v>
      </c>
    </row>
    <row r="5" spans="1:29" ht="15" customHeight="1" x14ac:dyDescent="0.2">
      <c r="A5" t="s">
        <v>487</v>
      </c>
      <c r="B5">
        <v>34.185533105022799</v>
      </c>
      <c r="C5">
        <v>27.529038305644999</v>
      </c>
      <c r="D5">
        <v>30.5148701127975</v>
      </c>
      <c r="E5">
        <v>31.6262258927303</v>
      </c>
      <c r="F5">
        <v>0.80528328228996404</v>
      </c>
      <c r="G5">
        <v>0.89262525229755696</v>
      </c>
      <c r="H5">
        <v>0.92513478715016695</v>
      </c>
      <c r="I5">
        <v>23.042041240418801</v>
      </c>
      <c r="J5">
        <v>45.496676221761803</v>
      </c>
      <c r="K5">
        <v>10.4087311721683</v>
      </c>
      <c r="L5">
        <v>1.6780821917808199E-2</v>
      </c>
      <c r="M5">
        <v>41320.822999999997</v>
      </c>
      <c r="N5">
        <v>3886.2080000000001</v>
      </c>
      <c r="O5">
        <v>39314.343954999997</v>
      </c>
      <c r="P5">
        <v>17.348424657534299</v>
      </c>
      <c r="Q5">
        <v>6.4229341317365298</v>
      </c>
      <c r="R5">
        <v>85.252789500000006</v>
      </c>
      <c r="S5">
        <v>45</v>
      </c>
      <c r="T5">
        <v>65</v>
      </c>
      <c r="U5">
        <v>55</v>
      </c>
      <c r="V5">
        <v>70</v>
      </c>
      <c r="W5">
        <v>62.5</v>
      </c>
    </row>
    <row r="6" spans="1:29" ht="15" customHeight="1" x14ac:dyDescent="0.2">
      <c r="A6" t="s">
        <v>488</v>
      </c>
      <c r="B6">
        <v>44.472754566210099</v>
      </c>
      <c r="C6">
        <v>37.357557109053403</v>
      </c>
      <c r="D6">
        <v>41.008327287780403</v>
      </c>
      <c r="E6">
        <v>43.839506464098697</v>
      </c>
      <c r="F6">
        <v>0.84000996730338096</v>
      </c>
      <c r="G6">
        <v>0.92210000679692805</v>
      </c>
      <c r="H6">
        <v>0.98576098763640496</v>
      </c>
      <c r="I6">
        <v>22.075796012913798</v>
      </c>
      <c r="J6">
        <v>40.032198719982802</v>
      </c>
      <c r="K6">
        <v>11.5570623397687</v>
      </c>
      <c r="L6">
        <v>1.5182648401826499E-2</v>
      </c>
      <c r="M6">
        <v>45506.053999999996</v>
      </c>
      <c r="N6">
        <v>5089.22</v>
      </c>
      <c r="O6">
        <v>40697.622094999999</v>
      </c>
      <c r="P6">
        <v>22.955616438356198</v>
      </c>
      <c r="Q6">
        <v>18.0518630136986</v>
      </c>
      <c r="R6">
        <v>89.488888750000001</v>
      </c>
      <c r="S6">
        <v>45</v>
      </c>
      <c r="T6">
        <v>65</v>
      </c>
      <c r="U6">
        <v>55</v>
      </c>
      <c r="V6">
        <v>70</v>
      </c>
      <c r="W6">
        <v>62.5</v>
      </c>
    </row>
    <row r="7" spans="1:29" ht="15" customHeight="1" x14ac:dyDescent="0.2">
      <c r="A7" t="s">
        <v>489</v>
      </c>
      <c r="B7">
        <v>37.6681484018265</v>
      </c>
      <c r="C7">
        <v>32.364351879166101</v>
      </c>
      <c r="D7">
        <v>34.897697500875303</v>
      </c>
      <c r="E7">
        <v>34.913854389791901</v>
      </c>
      <c r="F7">
        <v>0.859196781692534</v>
      </c>
      <c r="G7">
        <v>0.92645109944356097</v>
      </c>
      <c r="H7">
        <v>0.92688002652391999</v>
      </c>
      <c r="I7">
        <v>22.428278538872</v>
      </c>
      <c r="J7">
        <v>42.499063788464802</v>
      </c>
      <c r="K7">
        <v>11.2611164259964</v>
      </c>
      <c r="L7">
        <v>2.40867579908676E-2</v>
      </c>
      <c r="M7">
        <v>50291.462</v>
      </c>
      <c r="N7">
        <v>5958.5280000000002</v>
      </c>
      <c r="O7">
        <v>42321.060055000002</v>
      </c>
      <c r="P7">
        <v>13.583219178082199</v>
      </c>
      <c r="Q7">
        <v>26.6033698630137</v>
      </c>
      <c r="R7">
        <v>99.621837749999997</v>
      </c>
      <c r="S7">
        <v>45</v>
      </c>
      <c r="T7">
        <v>65</v>
      </c>
      <c r="U7">
        <v>55</v>
      </c>
      <c r="V7">
        <v>70</v>
      </c>
      <c r="W7">
        <v>62.5</v>
      </c>
    </row>
    <row r="8" spans="1:29" ht="15" customHeight="1" x14ac:dyDescent="0.2">
      <c r="A8" t="s">
        <v>490</v>
      </c>
      <c r="B8">
        <v>30.4717383879781</v>
      </c>
      <c r="C8">
        <v>24.636674076530198</v>
      </c>
      <c r="D8">
        <v>27.7723495910788</v>
      </c>
      <c r="E8">
        <v>24.599707273465</v>
      </c>
      <c r="F8">
        <v>0.80850897847856296</v>
      </c>
      <c r="G8">
        <v>0.91141336399880901</v>
      </c>
      <c r="H8">
        <v>0.80729582803094102</v>
      </c>
      <c r="I8">
        <v>22.280861081321799</v>
      </c>
      <c r="J8">
        <v>40.285423742548197</v>
      </c>
      <c r="K8">
        <v>11.0209200194448</v>
      </c>
      <c r="L8">
        <v>3.3925318761384299E-2</v>
      </c>
      <c r="M8">
        <v>52681.012000000002</v>
      </c>
      <c r="N8">
        <v>6905.2079999999996</v>
      </c>
      <c r="O8">
        <v>47333.412955</v>
      </c>
      <c r="P8">
        <v>9.4024590163934398</v>
      </c>
      <c r="Q8">
        <v>25.840273224043699</v>
      </c>
      <c r="R8">
        <v>103.10468675</v>
      </c>
      <c r="S8">
        <v>45</v>
      </c>
      <c r="T8">
        <v>65</v>
      </c>
      <c r="U8">
        <v>55</v>
      </c>
      <c r="V8">
        <v>70</v>
      </c>
      <c r="W8">
        <v>62.5</v>
      </c>
    </row>
    <row r="9" spans="1:29" ht="15" customHeight="1" x14ac:dyDescent="0.2">
      <c r="A9" t="s">
        <v>491</v>
      </c>
      <c r="B9">
        <v>96.849824200913204</v>
      </c>
      <c r="C9">
        <v>80.509631627832604</v>
      </c>
      <c r="D9">
        <v>92.326683906880803</v>
      </c>
      <c r="E9">
        <v>75.552225930528607</v>
      </c>
      <c r="F9">
        <v>0.83128319841672405</v>
      </c>
      <c r="G9">
        <v>0.95329738250583396</v>
      </c>
      <c r="H9">
        <v>0.78009667600218702</v>
      </c>
      <c r="I9">
        <v>19.0665794967171</v>
      </c>
      <c r="J9">
        <v>35.390352358399397</v>
      </c>
      <c r="K9">
        <v>10.3437468383786</v>
      </c>
      <c r="L9">
        <v>1.5867579908675801E-2</v>
      </c>
      <c r="M9">
        <v>52681.012000000002</v>
      </c>
      <c r="N9">
        <v>7710.4080000000004</v>
      </c>
      <c r="O9">
        <v>47333.412955</v>
      </c>
      <c r="P9">
        <v>46.128287671232897</v>
      </c>
      <c r="Q9">
        <v>54.3153698630137</v>
      </c>
      <c r="R9">
        <v>89.658637249999998</v>
      </c>
      <c r="S9">
        <v>45</v>
      </c>
      <c r="T9">
        <v>65</v>
      </c>
      <c r="U9">
        <v>55</v>
      </c>
      <c r="V9">
        <v>70</v>
      </c>
      <c r="W9">
        <v>62.5</v>
      </c>
    </row>
    <row r="10" spans="1:29" ht="15" customHeight="1" x14ac:dyDescent="0.2">
      <c r="A10" t="s">
        <v>492</v>
      </c>
      <c r="B10">
        <v>235.43983904109601</v>
      </c>
      <c r="C10">
        <v>168.38443581983699</v>
      </c>
      <c r="D10">
        <v>194.35683988064201</v>
      </c>
      <c r="E10">
        <v>223.542047276983</v>
      </c>
      <c r="F10">
        <v>0.71519092310645604</v>
      </c>
      <c r="G10">
        <v>0.825505320901604</v>
      </c>
      <c r="H10">
        <v>0.94946568171057899</v>
      </c>
      <c r="I10">
        <v>21.3225504676832</v>
      </c>
      <c r="J10">
        <v>36.469165860459398</v>
      </c>
      <c r="K10">
        <v>12.264389661833</v>
      </c>
      <c r="L10">
        <v>7.9908675799086806E-3</v>
      </c>
      <c r="M10">
        <v>53732.9594</v>
      </c>
      <c r="N10">
        <v>7740.9080000000004</v>
      </c>
      <c r="O10">
        <v>51461.212955000003</v>
      </c>
      <c r="P10">
        <v>121.04561643835601</v>
      </c>
      <c r="Q10">
        <v>83.677479452054797</v>
      </c>
      <c r="R10">
        <v>100.3653995</v>
      </c>
      <c r="S10">
        <v>45</v>
      </c>
      <c r="T10">
        <v>65</v>
      </c>
      <c r="U10">
        <v>55</v>
      </c>
      <c r="V10">
        <v>70</v>
      </c>
      <c r="W10">
        <v>62.5</v>
      </c>
    </row>
    <row r="11" spans="1:29" ht="15" customHeight="1" x14ac:dyDescent="0.2">
      <c r="A11" t="s">
        <v>493</v>
      </c>
      <c r="B11">
        <v>123.22931202223801</v>
      </c>
      <c r="C11">
        <v>96.993270246844702</v>
      </c>
      <c r="D11">
        <v>107.981987027043</v>
      </c>
      <c r="E11">
        <v>122.803837245176</v>
      </c>
      <c r="F11">
        <v>0.78709577011467402</v>
      </c>
      <c r="G11">
        <v>0.87626868360311205</v>
      </c>
      <c r="H11">
        <v>0.99654729244139095</v>
      </c>
      <c r="I11">
        <v>32.245898027615397</v>
      </c>
      <c r="J11">
        <v>39.0916273333142</v>
      </c>
      <c r="K11">
        <v>4.0969283988575702</v>
      </c>
      <c r="L11">
        <v>9.0340514246004203E-3</v>
      </c>
      <c r="M11">
        <v>53732.9594</v>
      </c>
      <c r="N11">
        <v>7740.9080000000004</v>
      </c>
      <c r="O11">
        <v>51461.212955000003</v>
      </c>
      <c r="P11">
        <v>58.553333333333299</v>
      </c>
      <c r="Q11">
        <v>88.844166666666695</v>
      </c>
      <c r="R11">
        <v>25.0284665</v>
      </c>
      <c r="S11">
        <v>45</v>
      </c>
      <c r="T11">
        <v>65</v>
      </c>
      <c r="U11">
        <v>55</v>
      </c>
      <c r="V11">
        <v>70</v>
      </c>
      <c r="W11">
        <v>62.5</v>
      </c>
      <c r="AB11">
        <v>34.897764745000003</v>
      </c>
      <c r="AC11">
        <v>1000</v>
      </c>
    </row>
    <row r="12" spans="1:29" ht="15" customHeight="1" x14ac:dyDescent="0.2">
      <c r="AB12">
        <v>34.953264744999998</v>
      </c>
    </row>
    <row r="13" spans="1:29" ht="15" customHeight="1" x14ac:dyDescent="0.2">
      <c r="AB13">
        <v>41.320822999999997</v>
      </c>
    </row>
    <row r="14" spans="1:29" ht="15" customHeight="1" x14ac:dyDescent="0.2">
      <c r="A14" t="s">
        <v>494</v>
      </c>
      <c r="AB14">
        <v>45.506053999999999</v>
      </c>
    </row>
    <row r="15" spans="1:29" ht="15" customHeight="1" x14ac:dyDescent="0.2">
      <c r="A15" s="28" t="s">
        <v>392</v>
      </c>
      <c r="B15" s="28" t="s">
        <v>334</v>
      </c>
      <c r="C15" s="28" t="s">
        <v>366</v>
      </c>
      <c r="D15" s="28" t="s">
        <v>352</v>
      </c>
      <c r="E15" s="28" t="s">
        <v>353</v>
      </c>
      <c r="F15" s="28" t="s">
        <v>356</v>
      </c>
      <c r="G15" s="28" t="s">
        <v>393</v>
      </c>
      <c r="H15" s="28" t="s">
        <v>394</v>
      </c>
      <c r="I15" s="28" t="s">
        <v>395</v>
      </c>
      <c r="J15" s="28" t="s">
        <v>396</v>
      </c>
      <c r="K15" s="28" t="s">
        <v>495</v>
      </c>
      <c r="L15" s="28" t="s">
        <v>496</v>
      </c>
      <c r="M15" s="28" t="s">
        <v>497</v>
      </c>
      <c r="N15" s="28" t="s">
        <v>498</v>
      </c>
      <c r="O15" s="28" t="s">
        <v>499</v>
      </c>
      <c r="P15" s="28" t="s">
        <v>500</v>
      </c>
      <c r="Q15" s="28" t="s">
        <v>501</v>
      </c>
      <c r="R15" s="28" t="s">
        <v>502</v>
      </c>
      <c r="AB15">
        <v>50.291462000000003</v>
      </c>
    </row>
    <row r="16" spans="1:29" ht="15" customHeight="1" x14ac:dyDescent="0.2">
      <c r="A16" t="s">
        <v>503</v>
      </c>
      <c r="B16">
        <v>2015</v>
      </c>
      <c r="C16">
        <v>1</v>
      </c>
      <c r="D16">
        <v>27.773185483871</v>
      </c>
      <c r="E16">
        <v>21.1668978841228</v>
      </c>
      <c r="F16">
        <v>0.76213432184130503</v>
      </c>
      <c r="G16">
        <v>19.682193548387101</v>
      </c>
      <c r="J16">
        <v>9078.6812499999996</v>
      </c>
      <c r="K16" t="s">
        <v>439</v>
      </c>
      <c r="L16">
        <v>19.682193548387101</v>
      </c>
      <c r="N16">
        <v>27.773185483871</v>
      </c>
      <c r="P16">
        <v>0.76213432184130503</v>
      </c>
      <c r="AB16">
        <v>52.681012000000003</v>
      </c>
    </row>
    <row r="17" spans="1:28" ht="15" customHeight="1" x14ac:dyDescent="0.2">
      <c r="A17" t="s">
        <v>504</v>
      </c>
      <c r="B17">
        <v>2015</v>
      </c>
      <c r="C17">
        <v>2</v>
      </c>
      <c r="D17">
        <v>36.694181547619102</v>
      </c>
      <c r="E17">
        <v>33.018631934202297</v>
      </c>
      <c r="F17">
        <v>0.89983290379029501</v>
      </c>
      <c r="G17">
        <v>22.5021428571429</v>
      </c>
      <c r="J17">
        <v>4860.1692499999999</v>
      </c>
      <c r="K17" t="s">
        <v>439</v>
      </c>
      <c r="L17">
        <v>22.5021428571429</v>
      </c>
      <c r="N17">
        <v>36.694181547619102</v>
      </c>
      <c r="P17">
        <v>0.89983290379029501</v>
      </c>
      <c r="AB17">
        <v>52.681012000000003</v>
      </c>
    </row>
    <row r="18" spans="1:28" ht="15" customHeight="1" x14ac:dyDescent="0.2">
      <c r="A18" t="s">
        <v>505</v>
      </c>
      <c r="B18">
        <v>2015</v>
      </c>
      <c r="C18">
        <v>3</v>
      </c>
      <c r="D18">
        <v>31.2978360215054</v>
      </c>
      <c r="E18">
        <v>25.897548393340401</v>
      </c>
      <c r="F18">
        <v>0.82745491974415297</v>
      </c>
      <c r="G18">
        <v>21.803451612903199</v>
      </c>
      <c r="J18">
        <v>6523.6722499999996</v>
      </c>
      <c r="K18" t="s">
        <v>439</v>
      </c>
      <c r="L18">
        <v>21.803451612903199</v>
      </c>
      <c r="N18">
        <v>31.2978360215054</v>
      </c>
      <c r="P18">
        <v>0.82745491974415297</v>
      </c>
      <c r="AB18">
        <v>53.732959399999999</v>
      </c>
    </row>
    <row r="19" spans="1:28" ht="15" customHeight="1" x14ac:dyDescent="0.2">
      <c r="A19" t="s">
        <v>506</v>
      </c>
      <c r="B19">
        <v>2015</v>
      </c>
      <c r="C19">
        <v>4</v>
      </c>
      <c r="D19">
        <v>29.778597222222199</v>
      </c>
      <c r="E19">
        <v>27.011167938461199</v>
      </c>
      <c r="F19">
        <v>0.90706649936835204</v>
      </c>
      <c r="G19">
        <v>22.1007</v>
      </c>
      <c r="J19">
        <v>4582.5174999999999</v>
      </c>
      <c r="K19" t="s">
        <v>439</v>
      </c>
      <c r="L19">
        <v>22.1007</v>
      </c>
      <c r="N19">
        <v>29.778597222222199</v>
      </c>
      <c r="P19">
        <v>0.90706649936835204</v>
      </c>
      <c r="AB19">
        <v>53.732959399999999</v>
      </c>
    </row>
    <row r="20" spans="1:28" ht="15" customHeight="1" x14ac:dyDescent="0.2">
      <c r="A20" t="s">
        <v>507</v>
      </c>
      <c r="B20">
        <v>2015</v>
      </c>
      <c r="C20">
        <v>5</v>
      </c>
      <c r="D20">
        <v>25.330389784946199</v>
      </c>
      <c r="E20">
        <v>24.186797599948498</v>
      </c>
      <c r="F20">
        <v>0.95485295746702603</v>
      </c>
      <c r="G20">
        <v>20.5320322580645</v>
      </c>
      <c r="J20">
        <v>4719.5704999999998</v>
      </c>
      <c r="K20" t="s">
        <v>439</v>
      </c>
      <c r="L20">
        <v>20.5320322580645</v>
      </c>
      <c r="N20">
        <v>25.330389784946199</v>
      </c>
      <c r="P20">
        <v>0.95485295746702603</v>
      </c>
    </row>
    <row r="21" spans="1:28" ht="15" customHeight="1" x14ac:dyDescent="0.2">
      <c r="A21" t="s">
        <v>508</v>
      </c>
      <c r="B21">
        <v>2015</v>
      </c>
      <c r="C21">
        <v>6</v>
      </c>
      <c r="D21">
        <v>30.109736111111101</v>
      </c>
      <c r="E21">
        <v>28.8407943482074</v>
      </c>
      <c r="F21">
        <v>0.95785609816635298</v>
      </c>
      <c r="G21">
        <v>20.5216666666667</v>
      </c>
      <c r="J21">
        <v>3594.92875</v>
      </c>
      <c r="K21" t="s">
        <v>439</v>
      </c>
      <c r="L21">
        <v>20.5216666666667</v>
      </c>
      <c r="N21">
        <v>30.109736111111101</v>
      </c>
      <c r="P21">
        <v>0.95785609816635298</v>
      </c>
      <c r="R21">
        <v>2.5877220875506501</v>
      </c>
    </row>
    <row r="22" spans="1:28" ht="15" customHeight="1" x14ac:dyDescent="0.2">
      <c r="A22" t="s">
        <v>509</v>
      </c>
      <c r="B22">
        <v>2015</v>
      </c>
      <c r="C22">
        <v>7</v>
      </c>
      <c r="D22">
        <v>34.9796774193548</v>
      </c>
      <c r="E22">
        <v>30.720061453773699</v>
      </c>
      <c r="F22">
        <v>0.87822597920173495</v>
      </c>
      <c r="G22">
        <v>20.926612903225799</v>
      </c>
      <c r="J22">
        <v>5151.7347499999996</v>
      </c>
      <c r="K22" t="s">
        <v>439</v>
      </c>
      <c r="L22">
        <v>20.926612903225799</v>
      </c>
      <c r="N22">
        <v>34.9796774193548</v>
      </c>
      <c r="P22">
        <v>0.87822597920173495</v>
      </c>
      <c r="R22">
        <v>2.3852837125206601</v>
      </c>
    </row>
    <row r="23" spans="1:28" ht="15" customHeight="1" x14ac:dyDescent="0.2">
      <c r="A23" t="s">
        <v>510</v>
      </c>
      <c r="B23">
        <v>2015</v>
      </c>
      <c r="C23">
        <v>8</v>
      </c>
      <c r="D23">
        <v>31.613400537634401</v>
      </c>
      <c r="E23">
        <v>30.3685123647181</v>
      </c>
      <c r="F23">
        <v>0.96062150380075995</v>
      </c>
      <c r="G23">
        <v>19.607258064516099</v>
      </c>
      <c r="J23">
        <v>3290.7829999999999</v>
      </c>
      <c r="K23" t="s">
        <v>439</v>
      </c>
      <c r="L23">
        <v>19.607258064516099</v>
      </c>
      <c r="N23">
        <v>31.613400537634401</v>
      </c>
      <c r="P23">
        <v>0.96062150380075995</v>
      </c>
      <c r="R23">
        <v>1.6544800581702199</v>
      </c>
    </row>
    <row r="24" spans="1:28" ht="15" customHeight="1" x14ac:dyDescent="0.2">
      <c r="A24" t="s">
        <v>511</v>
      </c>
      <c r="B24">
        <v>2015</v>
      </c>
      <c r="C24">
        <v>9</v>
      </c>
      <c r="D24">
        <v>31.8886111111111</v>
      </c>
      <c r="E24">
        <v>28.700531066762199</v>
      </c>
      <c r="F24">
        <v>0.900024493596144</v>
      </c>
      <c r="G24">
        <v>19.176666666666701</v>
      </c>
      <c r="J24">
        <v>4779.4494999999997</v>
      </c>
      <c r="K24" t="s">
        <v>439</v>
      </c>
      <c r="L24">
        <v>19.176666666666701</v>
      </c>
      <c r="N24">
        <v>31.8886111111111</v>
      </c>
      <c r="P24">
        <v>0.900024493596144</v>
      </c>
      <c r="R24">
        <v>1.0966913079204801</v>
      </c>
    </row>
    <row r="25" spans="1:28" ht="15" customHeight="1" x14ac:dyDescent="0.2">
      <c r="A25" t="s">
        <v>512</v>
      </c>
      <c r="B25">
        <v>2015</v>
      </c>
      <c r="C25">
        <v>10</v>
      </c>
      <c r="D25">
        <v>39.3688978494624</v>
      </c>
      <c r="E25">
        <v>37.077544886865802</v>
      </c>
      <c r="F25">
        <v>0.94179788899963301</v>
      </c>
      <c r="G25">
        <v>18.287903225806499</v>
      </c>
      <c r="J25">
        <v>3090.5082499999999</v>
      </c>
      <c r="K25" t="s">
        <v>439</v>
      </c>
      <c r="L25">
        <v>18.287903225806499</v>
      </c>
      <c r="N25">
        <v>39.3688978494624</v>
      </c>
      <c r="P25">
        <v>0.94179788899963301</v>
      </c>
      <c r="R25">
        <v>-0.38589730093652702</v>
      </c>
    </row>
    <row r="26" spans="1:28" ht="15" customHeight="1" x14ac:dyDescent="0.2">
      <c r="A26" t="s">
        <v>513</v>
      </c>
      <c r="B26">
        <v>2015</v>
      </c>
      <c r="C26">
        <v>11</v>
      </c>
      <c r="D26">
        <v>32.381680555555597</v>
      </c>
      <c r="E26">
        <v>28.074048486515899</v>
      </c>
      <c r="F26">
        <v>0.86697317757646197</v>
      </c>
      <c r="G26">
        <v>17.2</v>
      </c>
      <c r="J26">
        <v>9276.3612499999999</v>
      </c>
      <c r="K26" t="s">
        <v>439</v>
      </c>
      <c r="L26">
        <v>17.2</v>
      </c>
      <c r="N26">
        <v>32.381680555555597</v>
      </c>
      <c r="P26">
        <v>0.86697317757646197</v>
      </c>
      <c r="R26">
        <v>-0.29729888380644598</v>
      </c>
    </row>
    <row r="27" spans="1:28" ht="15" customHeight="1" x14ac:dyDescent="0.2">
      <c r="A27" t="s">
        <v>514</v>
      </c>
      <c r="B27">
        <v>2015</v>
      </c>
      <c r="C27">
        <v>12</v>
      </c>
      <c r="D27">
        <v>27.785564516129</v>
      </c>
      <c r="E27">
        <v>24.922729349684101</v>
      </c>
      <c r="F27">
        <v>0.89696681653586297</v>
      </c>
      <c r="G27">
        <v>15.697580645161301</v>
      </c>
      <c r="J27">
        <v>10070.53075</v>
      </c>
      <c r="K27" t="s">
        <v>439</v>
      </c>
      <c r="L27">
        <v>15.697580645161301</v>
      </c>
      <c r="N27">
        <v>27.785564516129</v>
      </c>
      <c r="P27">
        <v>0.89696681653586297</v>
      </c>
      <c r="R27">
        <v>0.204627235664461</v>
      </c>
    </row>
    <row r="28" spans="1:28" ht="15" customHeight="1" x14ac:dyDescent="0.2">
      <c r="A28" t="s">
        <v>515</v>
      </c>
      <c r="B28">
        <v>2016</v>
      </c>
      <c r="C28">
        <v>1</v>
      </c>
      <c r="D28">
        <v>29.025376344085998</v>
      </c>
      <c r="E28">
        <v>24.872509322527598</v>
      </c>
      <c r="F28">
        <v>0.85692288801607197</v>
      </c>
      <c r="G28">
        <v>13.9588709677419</v>
      </c>
      <c r="J28">
        <v>7883.4575000000004</v>
      </c>
      <c r="K28" t="s">
        <v>439</v>
      </c>
      <c r="L28">
        <v>13.9588709677419</v>
      </c>
      <c r="N28">
        <v>29.025376344085998</v>
      </c>
      <c r="P28">
        <v>0.85692288801607197</v>
      </c>
      <c r="R28">
        <v>0.31548458689971098</v>
      </c>
    </row>
    <row r="29" spans="1:28" ht="15" customHeight="1" x14ac:dyDescent="0.2">
      <c r="A29" t="s">
        <v>516</v>
      </c>
      <c r="B29">
        <v>2016</v>
      </c>
      <c r="C29">
        <v>2</v>
      </c>
      <c r="D29">
        <v>21.9984195402299</v>
      </c>
      <c r="E29">
        <v>19.163074860647502</v>
      </c>
      <c r="F29">
        <v>0.87111143714677997</v>
      </c>
      <c r="G29">
        <v>12.4008620689655</v>
      </c>
      <c r="J29">
        <v>8659.22775</v>
      </c>
      <c r="K29" t="s">
        <v>439</v>
      </c>
      <c r="L29">
        <v>12.4008620689655</v>
      </c>
      <c r="N29">
        <v>21.9984195402299</v>
      </c>
      <c r="P29">
        <v>0.87111143714677997</v>
      </c>
      <c r="R29">
        <v>0.59420947057067897</v>
      </c>
    </row>
    <row r="30" spans="1:28" ht="15" customHeight="1" x14ac:dyDescent="0.2">
      <c r="A30" t="s">
        <v>517</v>
      </c>
      <c r="B30">
        <v>2016</v>
      </c>
      <c r="C30">
        <v>3</v>
      </c>
      <c r="D30">
        <v>24.299059139785001</v>
      </c>
      <c r="E30">
        <v>22.005712116911901</v>
      </c>
      <c r="F30">
        <v>0.90561992504812305</v>
      </c>
      <c r="G30">
        <v>12.250806451612901</v>
      </c>
      <c r="J30">
        <v>5130.6897499999995</v>
      </c>
      <c r="K30" t="s">
        <v>439</v>
      </c>
      <c r="L30">
        <v>12.250806451612901</v>
      </c>
      <c r="N30">
        <v>24.299059139785001</v>
      </c>
      <c r="P30">
        <v>0.90561992504812305</v>
      </c>
      <c r="R30">
        <v>0.73420748589669904</v>
      </c>
    </row>
    <row r="31" spans="1:28" ht="15" customHeight="1" x14ac:dyDescent="0.2">
      <c r="A31" t="s">
        <v>518</v>
      </c>
      <c r="B31">
        <v>2016</v>
      </c>
      <c r="C31">
        <v>4</v>
      </c>
      <c r="D31">
        <v>24.210125000000001</v>
      </c>
      <c r="E31">
        <v>23.765994572290602</v>
      </c>
      <c r="F31">
        <v>0.98165517824838</v>
      </c>
      <c r="G31">
        <v>12.1191666666667</v>
      </c>
      <c r="J31">
        <v>5018.0122499999998</v>
      </c>
      <c r="K31" t="s">
        <v>439</v>
      </c>
      <c r="L31">
        <v>12.1191666666667</v>
      </c>
      <c r="N31">
        <v>24.210125000000001</v>
      </c>
      <c r="P31">
        <v>0.98165517824838</v>
      </c>
      <c r="R31">
        <v>0.92157518177865305</v>
      </c>
    </row>
    <row r="32" spans="1:28" ht="15" customHeight="1" x14ac:dyDescent="0.2">
      <c r="A32" t="s">
        <v>519</v>
      </c>
      <c r="B32">
        <v>2016</v>
      </c>
      <c r="C32">
        <v>5</v>
      </c>
      <c r="D32">
        <v>22.550860215053799</v>
      </c>
      <c r="E32">
        <v>19.298040343522601</v>
      </c>
      <c r="F32">
        <v>0.85575628421660899</v>
      </c>
      <c r="G32">
        <v>13.074999999999999</v>
      </c>
      <c r="J32">
        <v>5164.942</v>
      </c>
      <c r="K32" t="s">
        <v>439</v>
      </c>
      <c r="L32">
        <v>13.074999999999999</v>
      </c>
      <c r="N32">
        <v>22.550860215053799</v>
      </c>
      <c r="P32">
        <v>0.85575628421660899</v>
      </c>
      <c r="R32">
        <v>1.25169383692685</v>
      </c>
    </row>
    <row r="33" spans="1:18" ht="15" customHeight="1" x14ac:dyDescent="0.2">
      <c r="A33" t="s">
        <v>520</v>
      </c>
      <c r="B33">
        <v>2016</v>
      </c>
      <c r="C33">
        <v>6</v>
      </c>
      <c r="D33">
        <v>27.704638888888901</v>
      </c>
      <c r="E33">
        <v>27.462206025778698</v>
      </c>
      <c r="F33">
        <v>0.99124937653645295</v>
      </c>
      <c r="G33">
        <v>14.4125</v>
      </c>
      <c r="J33">
        <v>2672.0315000000001</v>
      </c>
      <c r="K33" t="s">
        <v>439</v>
      </c>
      <c r="L33">
        <v>14.4125</v>
      </c>
      <c r="N33">
        <v>27.704638888888901</v>
      </c>
      <c r="P33">
        <v>0.99124937653645295</v>
      </c>
      <c r="R33">
        <v>1.4305397048873101</v>
      </c>
    </row>
    <row r="34" spans="1:18" ht="15" customHeight="1" x14ac:dyDescent="0.2">
      <c r="A34" t="s">
        <v>521</v>
      </c>
      <c r="B34">
        <v>2016</v>
      </c>
      <c r="C34">
        <v>7</v>
      </c>
      <c r="D34">
        <v>27.181115591397901</v>
      </c>
      <c r="E34">
        <v>25.077803781254602</v>
      </c>
      <c r="F34">
        <v>0.92261863560858004</v>
      </c>
      <c r="G34">
        <v>14.2137096774194</v>
      </c>
      <c r="J34">
        <v>3878.8162499999999</v>
      </c>
      <c r="K34" t="s">
        <v>439</v>
      </c>
      <c r="L34">
        <v>14.2137096774194</v>
      </c>
      <c r="N34">
        <v>27.181115591397901</v>
      </c>
      <c r="P34">
        <v>0.92261863560858004</v>
      </c>
      <c r="R34">
        <v>1.52234352816712</v>
      </c>
    </row>
    <row r="35" spans="1:18" ht="15" customHeight="1" x14ac:dyDescent="0.2">
      <c r="A35" t="s">
        <v>522</v>
      </c>
      <c r="B35">
        <v>2016</v>
      </c>
      <c r="C35">
        <v>8</v>
      </c>
      <c r="D35">
        <v>27.1817204301075</v>
      </c>
      <c r="E35">
        <v>25.9733544610975</v>
      </c>
      <c r="F35">
        <v>0.95554490481508902</v>
      </c>
      <c r="G35">
        <v>11.851612903225799</v>
      </c>
      <c r="J35">
        <v>3862.4137500000002</v>
      </c>
      <c r="K35" t="s">
        <v>439</v>
      </c>
      <c r="L35">
        <v>11.851612903225799</v>
      </c>
      <c r="N35">
        <v>27.1817204301075</v>
      </c>
      <c r="P35">
        <v>0.95554490481508902</v>
      </c>
      <c r="R35">
        <v>1.6183970742795699</v>
      </c>
    </row>
    <row r="36" spans="1:18" ht="15" customHeight="1" x14ac:dyDescent="0.2">
      <c r="A36" t="s">
        <v>523</v>
      </c>
      <c r="B36">
        <v>2016</v>
      </c>
      <c r="C36">
        <v>9</v>
      </c>
      <c r="D36">
        <v>30.510763888888899</v>
      </c>
      <c r="E36">
        <v>28.266479542417301</v>
      </c>
      <c r="F36">
        <v>0.92644286604410697</v>
      </c>
      <c r="G36">
        <v>12.244999999999999</v>
      </c>
      <c r="J36">
        <v>3424.9684999999999</v>
      </c>
      <c r="K36" t="s">
        <v>439</v>
      </c>
      <c r="L36">
        <v>12.244999999999999</v>
      </c>
      <c r="N36">
        <v>30.510763888888899</v>
      </c>
      <c r="P36">
        <v>0.92644286604410697</v>
      </c>
      <c r="R36">
        <v>1.7727172780006599</v>
      </c>
    </row>
    <row r="37" spans="1:18" ht="15" customHeight="1" x14ac:dyDescent="0.2">
      <c r="A37" t="s">
        <v>524</v>
      </c>
      <c r="B37">
        <v>2016</v>
      </c>
      <c r="C37">
        <v>10</v>
      </c>
      <c r="D37">
        <v>37.141760752688199</v>
      </c>
      <c r="E37">
        <v>34.678651274504297</v>
      </c>
      <c r="F37">
        <v>0.93368355650706203</v>
      </c>
      <c r="G37">
        <v>15.9838709677419</v>
      </c>
      <c r="J37">
        <v>3984.1325000000002</v>
      </c>
      <c r="K37" t="s">
        <v>439</v>
      </c>
      <c r="L37">
        <v>15.9838709677419</v>
      </c>
      <c r="N37">
        <v>37.141760752688199</v>
      </c>
      <c r="P37">
        <v>0.93368355650706203</v>
      </c>
      <c r="R37">
        <v>1.63200519542711</v>
      </c>
    </row>
    <row r="38" spans="1:18" ht="15" customHeight="1" x14ac:dyDescent="0.2">
      <c r="A38" t="s">
        <v>525</v>
      </c>
      <c r="B38">
        <v>2016</v>
      </c>
      <c r="C38">
        <v>11</v>
      </c>
      <c r="D38">
        <v>38.213486111111102</v>
      </c>
      <c r="E38">
        <v>34.1852521395612</v>
      </c>
      <c r="F38">
        <v>0.89458606420159503</v>
      </c>
      <c r="G38">
        <v>18.072500000000002</v>
      </c>
      <c r="J38">
        <v>6742.0155000000004</v>
      </c>
      <c r="K38" t="s">
        <v>439</v>
      </c>
      <c r="L38">
        <v>18.072500000000002</v>
      </c>
      <c r="N38">
        <v>38.213486111111102</v>
      </c>
      <c r="P38">
        <v>0.89458606420159503</v>
      </c>
      <c r="R38">
        <v>2.0661422432763099</v>
      </c>
    </row>
    <row r="39" spans="1:18" ht="15" customHeight="1" x14ac:dyDescent="0.2">
      <c r="A39" t="s">
        <v>526</v>
      </c>
      <c r="B39">
        <v>2016</v>
      </c>
      <c r="C39">
        <v>12</v>
      </c>
      <c r="D39">
        <v>37.470053763440902</v>
      </c>
      <c r="E39">
        <v>25.825970461760001</v>
      </c>
      <c r="F39">
        <v>0.689242951846473</v>
      </c>
      <c r="G39">
        <v>17.815322580645201</v>
      </c>
      <c r="J39">
        <v>7587.6225000000004</v>
      </c>
      <c r="K39" t="s">
        <v>439</v>
      </c>
      <c r="L39">
        <v>17.815322580645201</v>
      </c>
      <c r="N39">
        <v>37.470053763440902</v>
      </c>
      <c r="P39">
        <v>0.689242951846473</v>
      </c>
      <c r="R39">
        <v>2.2784919270897199</v>
      </c>
    </row>
    <row r="40" spans="1:18" ht="15" customHeight="1" x14ac:dyDescent="0.2">
      <c r="A40" t="s">
        <v>527</v>
      </c>
      <c r="B40">
        <v>2017</v>
      </c>
      <c r="C40">
        <v>1</v>
      </c>
      <c r="D40">
        <v>52.405147849462402</v>
      </c>
      <c r="E40">
        <v>42.509549232587602</v>
      </c>
      <c r="F40">
        <v>0.81117124895247705</v>
      </c>
      <c r="G40">
        <v>20.139516129032302</v>
      </c>
      <c r="J40">
        <v>6599.1897499999995</v>
      </c>
      <c r="K40" t="s">
        <v>439</v>
      </c>
      <c r="L40">
        <v>20.139516129032302</v>
      </c>
      <c r="N40">
        <v>52.405147849462402</v>
      </c>
      <c r="P40">
        <v>0.81117124895247705</v>
      </c>
      <c r="R40">
        <v>2.8922735234780399</v>
      </c>
    </row>
    <row r="41" spans="1:18" ht="15" customHeight="1" x14ac:dyDescent="0.2">
      <c r="A41" t="s">
        <v>528</v>
      </c>
      <c r="B41">
        <v>2017</v>
      </c>
      <c r="C41">
        <v>2</v>
      </c>
      <c r="D41">
        <v>39.680982142857097</v>
      </c>
      <c r="E41">
        <v>34.017747825686101</v>
      </c>
      <c r="F41">
        <v>0.85728089348236003</v>
      </c>
      <c r="G41">
        <v>19.637499999999999</v>
      </c>
      <c r="H41">
        <v>5.5778571428571402</v>
      </c>
      <c r="I41">
        <v>41.227249999999998</v>
      </c>
      <c r="J41">
        <v>7996.6509999999998</v>
      </c>
      <c r="K41" t="s">
        <v>439</v>
      </c>
      <c r="L41">
        <v>19.637499999999999</v>
      </c>
      <c r="N41">
        <v>39.680982142857097</v>
      </c>
      <c r="P41">
        <v>0.85728089348236003</v>
      </c>
      <c r="R41">
        <v>2.5646013452554199</v>
      </c>
    </row>
    <row r="42" spans="1:18" ht="15" customHeight="1" x14ac:dyDescent="0.2">
      <c r="A42" t="s">
        <v>529</v>
      </c>
      <c r="B42">
        <v>2017</v>
      </c>
      <c r="C42">
        <v>3</v>
      </c>
      <c r="D42">
        <v>31.691169354838699</v>
      </c>
      <c r="E42">
        <v>29.6685057786177</v>
      </c>
      <c r="F42">
        <v>0.93617579857739797</v>
      </c>
      <c r="G42">
        <v>15.883870967741901</v>
      </c>
      <c r="H42">
        <v>5.5567741935483896</v>
      </c>
      <c r="I42">
        <v>33.712612903225804</v>
      </c>
      <c r="J42">
        <v>7806.5129999999999</v>
      </c>
      <c r="K42" t="s">
        <v>439</v>
      </c>
      <c r="L42">
        <v>15.883870967741901</v>
      </c>
      <c r="N42">
        <v>31.691169354838699</v>
      </c>
      <c r="P42">
        <v>0.93617579857739797</v>
      </c>
      <c r="R42">
        <v>2.5313792708976601</v>
      </c>
    </row>
    <row r="43" spans="1:18" ht="15" customHeight="1" x14ac:dyDescent="0.2">
      <c r="A43" t="s">
        <v>530</v>
      </c>
      <c r="B43">
        <v>2017</v>
      </c>
      <c r="C43">
        <v>4</v>
      </c>
      <c r="D43">
        <v>28.721180555555598</v>
      </c>
      <c r="E43">
        <v>25.019293490547899</v>
      </c>
      <c r="F43">
        <v>0.87110950896161499</v>
      </c>
      <c r="G43">
        <v>16.122499999999999</v>
      </c>
      <c r="H43">
        <v>5.2216666666666702</v>
      </c>
      <c r="I43">
        <v>34.072583333333299</v>
      </c>
      <c r="J43">
        <v>6732.0950000000003</v>
      </c>
      <c r="K43" t="s">
        <v>439</v>
      </c>
      <c r="L43">
        <v>16.122499999999999</v>
      </c>
      <c r="N43">
        <v>28.721180555555598</v>
      </c>
      <c r="P43">
        <v>0.87110950896161499</v>
      </c>
      <c r="R43">
        <v>2.4921686457631602</v>
      </c>
    </row>
    <row r="44" spans="1:18" ht="15" customHeight="1" x14ac:dyDescent="0.2">
      <c r="A44" t="s">
        <v>531</v>
      </c>
      <c r="B44">
        <v>2017</v>
      </c>
      <c r="C44">
        <v>5</v>
      </c>
      <c r="D44">
        <v>30.610107526881698</v>
      </c>
      <c r="E44">
        <v>27.9609022010285</v>
      </c>
      <c r="F44">
        <v>0.91345324992645804</v>
      </c>
      <c r="G44">
        <v>15.6685483870968</v>
      </c>
      <c r="H44">
        <v>5.1741935483871</v>
      </c>
      <c r="I44">
        <v>33.148064516128997</v>
      </c>
      <c r="J44">
        <v>4443.366</v>
      </c>
      <c r="K44" t="s">
        <v>439</v>
      </c>
      <c r="L44">
        <v>15.6685483870968</v>
      </c>
      <c r="N44">
        <v>30.610107526881698</v>
      </c>
      <c r="P44">
        <v>0.91345324992645804</v>
      </c>
      <c r="R44">
        <v>2.34487892939759</v>
      </c>
    </row>
    <row r="45" spans="1:18" ht="15" customHeight="1" x14ac:dyDescent="0.2">
      <c r="A45" t="s">
        <v>532</v>
      </c>
      <c r="B45">
        <v>2017</v>
      </c>
      <c r="C45">
        <v>6</v>
      </c>
      <c r="D45">
        <v>30.0041805555556</v>
      </c>
      <c r="E45">
        <v>26.8339369060892</v>
      </c>
      <c r="F45">
        <v>0.89433993561009295</v>
      </c>
      <c r="G45">
        <v>15.085000000000001</v>
      </c>
      <c r="H45">
        <v>5.4456666666666704</v>
      </c>
      <c r="I45">
        <v>32.075983333333298</v>
      </c>
      <c r="J45">
        <v>5880.1527500000002</v>
      </c>
      <c r="K45" t="s">
        <v>439</v>
      </c>
      <c r="L45">
        <v>15.085000000000001</v>
      </c>
      <c r="N45">
        <v>30.0041805555556</v>
      </c>
      <c r="P45">
        <v>0.89433993561009295</v>
      </c>
      <c r="R45">
        <v>2.31139592613185</v>
      </c>
    </row>
    <row r="46" spans="1:18" ht="15" customHeight="1" x14ac:dyDescent="0.2">
      <c r="A46" t="s">
        <v>533</v>
      </c>
      <c r="B46">
        <v>2017</v>
      </c>
      <c r="C46">
        <v>7</v>
      </c>
      <c r="D46">
        <v>33.005577956989299</v>
      </c>
      <c r="E46">
        <v>30.805132949431702</v>
      </c>
      <c r="F46">
        <v>0.93333111723039697</v>
      </c>
      <c r="G46">
        <v>15.0887096774194</v>
      </c>
      <c r="H46">
        <v>5.77935483870968</v>
      </c>
      <c r="I46">
        <v>32.200193548387098</v>
      </c>
      <c r="J46">
        <v>4560.9994999999999</v>
      </c>
      <c r="K46" t="s">
        <v>439</v>
      </c>
      <c r="L46">
        <v>15.0887096774194</v>
      </c>
      <c r="N46">
        <v>33.005577956989299</v>
      </c>
      <c r="P46">
        <v>0.93333111723039697</v>
      </c>
      <c r="R46">
        <v>2.2209745423987299</v>
      </c>
    </row>
    <row r="47" spans="1:18" ht="15" customHeight="1" x14ac:dyDescent="0.2">
      <c r="A47" t="s">
        <v>534</v>
      </c>
      <c r="B47">
        <v>2017</v>
      </c>
      <c r="C47">
        <v>8</v>
      </c>
      <c r="D47">
        <v>30.8558870967742</v>
      </c>
      <c r="E47">
        <v>28.374998698706101</v>
      </c>
      <c r="F47">
        <v>0.91959756689907601</v>
      </c>
      <c r="G47">
        <v>16.033064516128999</v>
      </c>
      <c r="H47">
        <v>6.3251612903225798</v>
      </c>
      <c r="I47">
        <v>34.279935483871</v>
      </c>
      <c r="J47">
        <v>4374.3322500000004</v>
      </c>
      <c r="K47" t="s">
        <v>439</v>
      </c>
      <c r="L47">
        <v>16.033064516128999</v>
      </c>
      <c r="N47">
        <v>30.8558870967742</v>
      </c>
      <c r="P47">
        <v>0.91959756689907601</v>
      </c>
      <c r="R47">
        <v>2.4315109671805302</v>
      </c>
    </row>
    <row r="48" spans="1:18" ht="15" customHeight="1" x14ac:dyDescent="0.2">
      <c r="A48" t="s">
        <v>535</v>
      </c>
      <c r="B48">
        <v>2017</v>
      </c>
      <c r="C48">
        <v>9</v>
      </c>
      <c r="D48">
        <v>34.298097222222196</v>
      </c>
      <c r="E48">
        <v>28.425902044769899</v>
      </c>
      <c r="F48">
        <v>0.82878947658800195</v>
      </c>
      <c r="G48">
        <v>17.149166666666702</v>
      </c>
      <c r="H48">
        <v>7.3680000000000003</v>
      </c>
      <c r="I48">
        <v>36.877133333333298</v>
      </c>
      <c r="J48">
        <v>5277.674</v>
      </c>
      <c r="K48" t="s">
        <v>439</v>
      </c>
      <c r="L48">
        <v>17.149166666666702</v>
      </c>
      <c r="N48">
        <v>34.298097222222196</v>
      </c>
      <c r="P48">
        <v>0.82878947658800195</v>
      </c>
      <c r="R48">
        <v>3.2631376556296101</v>
      </c>
    </row>
    <row r="49" spans="1:18" ht="15" customHeight="1" x14ac:dyDescent="0.2">
      <c r="A49" t="s">
        <v>536</v>
      </c>
      <c r="B49">
        <v>2017</v>
      </c>
      <c r="C49">
        <v>10</v>
      </c>
      <c r="D49">
        <v>28.288655913978499</v>
      </c>
      <c r="E49">
        <v>20.905300017818401</v>
      </c>
      <c r="F49">
        <v>0.73899940956503096</v>
      </c>
      <c r="G49">
        <v>17.1112903225807</v>
      </c>
      <c r="H49">
        <v>7.8261290322580699</v>
      </c>
      <c r="I49">
        <v>36.961725806451597</v>
      </c>
      <c r="J49">
        <v>10266.058999999999</v>
      </c>
      <c r="K49" t="s">
        <v>439</v>
      </c>
      <c r="L49">
        <v>17.1112903225807</v>
      </c>
      <c r="N49">
        <v>28.288655913978499</v>
      </c>
      <c r="P49">
        <v>0.73899940956503096</v>
      </c>
      <c r="R49">
        <v>3.3858240661722401</v>
      </c>
    </row>
    <row r="50" spans="1:18" ht="15" customHeight="1" x14ac:dyDescent="0.2">
      <c r="A50" t="s">
        <v>537</v>
      </c>
      <c r="B50">
        <v>2017</v>
      </c>
      <c r="C50">
        <v>11</v>
      </c>
      <c r="D50">
        <v>40.378999999999998</v>
      </c>
      <c r="E50">
        <v>32.199180622377199</v>
      </c>
      <c r="F50">
        <v>0.79742392388066197</v>
      </c>
      <c r="G50">
        <v>19.563333333333301</v>
      </c>
      <c r="H50">
        <v>8.1413333333333302</v>
      </c>
      <c r="I50">
        <v>41.976133333333301</v>
      </c>
      <c r="J50">
        <v>8615.9682499999999</v>
      </c>
      <c r="K50" t="s">
        <v>439</v>
      </c>
      <c r="L50">
        <v>19.563333333333301</v>
      </c>
      <c r="N50">
        <v>40.378999999999998</v>
      </c>
      <c r="P50">
        <v>0.79742392388066197</v>
      </c>
      <c r="R50">
        <v>3.18603860202334</v>
      </c>
    </row>
    <row r="51" spans="1:18" ht="15" customHeight="1" x14ac:dyDescent="0.2">
      <c r="A51" t="s">
        <v>538</v>
      </c>
      <c r="B51">
        <v>2017</v>
      </c>
      <c r="C51">
        <v>12</v>
      </c>
      <c r="D51">
        <v>30.710497311828</v>
      </c>
      <c r="E51">
        <v>22.9650163499436</v>
      </c>
      <c r="F51">
        <v>0.74779044170993403</v>
      </c>
      <c r="G51">
        <v>20.8725806451613</v>
      </c>
      <c r="H51">
        <v>8.17</v>
      </c>
      <c r="I51">
        <v>44.604661290322603</v>
      </c>
      <c r="J51">
        <v>12699.789000000001</v>
      </c>
      <c r="K51" t="s">
        <v>439</v>
      </c>
      <c r="L51">
        <v>20.8725806451613</v>
      </c>
      <c r="N51">
        <v>30.710497311828</v>
      </c>
      <c r="P51">
        <v>0.74779044170993403</v>
      </c>
      <c r="R51">
        <v>2.0283380266548301</v>
      </c>
    </row>
    <row r="52" spans="1:18" ht="15" customHeight="1" x14ac:dyDescent="0.2">
      <c r="A52" t="s">
        <v>539</v>
      </c>
      <c r="B52">
        <v>2018</v>
      </c>
      <c r="C52">
        <v>1</v>
      </c>
      <c r="D52">
        <v>29.500860215053802</v>
      </c>
      <c r="E52">
        <v>24.3450453193927</v>
      </c>
      <c r="F52">
        <v>0.82523170992044104</v>
      </c>
      <c r="G52">
        <v>18.724193548387099</v>
      </c>
      <c r="H52">
        <v>8.9483870967741908</v>
      </c>
      <c r="I52">
        <v>40.580322580645202</v>
      </c>
      <c r="J52">
        <v>12561.965</v>
      </c>
      <c r="K52" t="s">
        <v>439</v>
      </c>
      <c r="L52">
        <v>18.724193548387099</v>
      </c>
      <c r="N52">
        <v>29.500860215053802</v>
      </c>
      <c r="P52">
        <v>0.82523170992044104</v>
      </c>
      <c r="R52">
        <v>0.922292374075108</v>
      </c>
    </row>
    <row r="53" spans="1:18" ht="15" customHeight="1" x14ac:dyDescent="0.2">
      <c r="A53" t="s">
        <v>540</v>
      </c>
      <c r="B53">
        <v>2018</v>
      </c>
      <c r="C53">
        <v>2</v>
      </c>
      <c r="D53">
        <v>40.122767857142897</v>
      </c>
      <c r="E53">
        <v>36.603765453996303</v>
      </c>
      <c r="F53">
        <v>0.91229412647512298</v>
      </c>
      <c r="G53">
        <v>21.777678571428599</v>
      </c>
      <c r="H53">
        <v>10.2217857142857</v>
      </c>
      <c r="I53">
        <v>47.132982142857102</v>
      </c>
      <c r="J53">
        <v>6416.598</v>
      </c>
      <c r="K53" t="s">
        <v>439</v>
      </c>
      <c r="L53">
        <v>21.777678571428599</v>
      </c>
      <c r="N53">
        <v>40.122767857142897</v>
      </c>
      <c r="P53">
        <v>0.91229412647512298</v>
      </c>
      <c r="R53">
        <v>0.99868343049463704</v>
      </c>
    </row>
    <row r="54" spans="1:18" ht="15" customHeight="1" x14ac:dyDescent="0.2">
      <c r="A54" t="s">
        <v>541</v>
      </c>
      <c r="B54">
        <v>2018</v>
      </c>
      <c r="C54">
        <v>3</v>
      </c>
      <c r="D54">
        <v>37.3593817204301</v>
      </c>
      <c r="E54">
        <v>31.514703863018301</v>
      </c>
      <c r="F54">
        <v>0.843555284154618</v>
      </c>
      <c r="G54">
        <v>23.940322580645201</v>
      </c>
      <c r="H54">
        <v>12.4322580645161</v>
      </c>
      <c r="I54">
        <v>52.231935483870998</v>
      </c>
      <c r="J54">
        <v>9041.3230000000003</v>
      </c>
      <c r="K54" t="s">
        <v>439</v>
      </c>
      <c r="L54">
        <v>23.940322580645201</v>
      </c>
      <c r="N54">
        <v>37.3593817204301</v>
      </c>
      <c r="P54">
        <v>0.843555284154618</v>
      </c>
      <c r="R54">
        <v>0.92462639051930295</v>
      </c>
    </row>
    <row r="55" spans="1:18" ht="15" customHeight="1" x14ac:dyDescent="0.2">
      <c r="A55" t="s">
        <v>542</v>
      </c>
      <c r="B55">
        <v>2018</v>
      </c>
      <c r="C55">
        <v>4</v>
      </c>
      <c r="D55">
        <v>31.960750000000001</v>
      </c>
      <c r="E55">
        <v>29.992930416269399</v>
      </c>
      <c r="F55">
        <v>0.93843011870088699</v>
      </c>
      <c r="G55">
        <v>19.739999999999998</v>
      </c>
      <c r="H55">
        <v>14.597666666666701</v>
      </c>
      <c r="I55">
        <v>44.589183333333303</v>
      </c>
      <c r="J55">
        <v>7341.67425</v>
      </c>
      <c r="K55" t="s">
        <v>439</v>
      </c>
      <c r="L55">
        <v>19.739999999999998</v>
      </c>
      <c r="N55">
        <v>31.960750000000001</v>
      </c>
      <c r="P55">
        <v>0.93843011870088699</v>
      </c>
      <c r="R55">
        <v>0.83125016369247196</v>
      </c>
    </row>
    <row r="56" spans="1:18" ht="15" customHeight="1" x14ac:dyDescent="0.2">
      <c r="A56" t="s">
        <v>543</v>
      </c>
      <c r="B56">
        <v>2018</v>
      </c>
      <c r="C56">
        <v>5</v>
      </c>
      <c r="D56">
        <v>33.658548387096801</v>
      </c>
      <c r="E56">
        <v>29.821112180113001</v>
      </c>
      <c r="F56">
        <v>0.885989254116054</v>
      </c>
      <c r="G56">
        <v>21.6225806451613</v>
      </c>
      <c r="H56">
        <v>16.216129032258099</v>
      </c>
      <c r="I56">
        <v>48.920806451612897</v>
      </c>
      <c r="J56">
        <v>5867.9802499999996</v>
      </c>
      <c r="K56" t="s">
        <v>439</v>
      </c>
      <c r="L56">
        <v>21.6225806451613</v>
      </c>
      <c r="N56">
        <v>33.658548387096801</v>
      </c>
      <c r="P56">
        <v>0.885989254116054</v>
      </c>
      <c r="R56">
        <v>0.75921981398358196</v>
      </c>
    </row>
    <row r="57" spans="1:18" ht="15" customHeight="1" x14ac:dyDescent="0.2">
      <c r="A57" t="s">
        <v>544</v>
      </c>
      <c r="B57">
        <v>2018</v>
      </c>
      <c r="C57">
        <v>6</v>
      </c>
      <c r="D57">
        <v>42.393361111111098</v>
      </c>
      <c r="E57">
        <v>38.7746092832</v>
      </c>
      <c r="F57">
        <v>0.91463871386780404</v>
      </c>
      <c r="G57">
        <v>21.837499999999999</v>
      </c>
      <c r="H57">
        <v>16.930666666666699</v>
      </c>
      <c r="I57">
        <v>49.600733333333302</v>
      </c>
      <c r="J57">
        <v>4638.5675000000001</v>
      </c>
      <c r="K57" t="s">
        <v>439</v>
      </c>
      <c r="L57">
        <v>21.837499999999999</v>
      </c>
      <c r="N57">
        <v>42.393361111111098</v>
      </c>
      <c r="P57">
        <v>0.91463871386780404</v>
      </c>
      <c r="R57">
        <v>0.93723252767407395</v>
      </c>
    </row>
    <row r="58" spans="1:18" ht="15" customHeight="1" x14ac:dyDescent="0.2">
      <c r="A58" t="s">
        <v>545</v>
      </c>
      <c r="B58">
        <v>2018</v>
      </c>
      <c r="C58">
        <v>7</v>
      </c>
      <c r="D58">
        <v>49.589704301075301</v>
      </c>
      <c r="E58">
        <v>47.532331984323001</v>
      </c>
      <c r="F58">
        <v>0.958512107588679</v>
      </c>
      <c r="G58">
        <v>22.219354838709702</v>
      </c>
      <c r="H58">
        <v>18.411612903225802</v>
      </c>
      <c r="I58">
        <v>50.8827741935484</v>
      </c>
      <c r="J58">
        <v>3659.24125</v>
      </c>
      <c r="K58" t="s">
        <v>439</v>
      </c>
      <c r="L58">
        <v>22.219354838709702</v>
      </c>
      <c r="N58">
        <v>49.589704301075301</v>
      </c>
      <c r="P58">
        <v>0.958512107588679</v>
      </c>
      <c r="R58">
        <v>1.5715768716073399</v>
      </c>
    </row>
    <row r="59" spans="1:18" ht="15" customHeight="1" x14ac:dyDescent="0.2">
      <c r="A59" t="s">
        <v>546</v>
      </c>
      <c r="B59">
        <v>2018</v>
      </c>
      <c r="C59">
        <v>8</v>
      </c>
      <c r="D59">
        <v>56.215537634408598</v>
      </c>
      <c r="E59">
        <v>54.245695111360597</v>
      </c>
      <c r="F59">
        <v>0.96495910906591897</v>
      </c>
      <c r="G59">
        <v>23.908064516128999</v>
      </c>
      <c r="H59">
        <v>21.42</v>
      </c>
      <c r="I59">
        <v>55.313129032258097</v>
      </c>
      <c r="J59">
        <v>5046.9137499999997</v>
      </c>
      <c r="K59" t="s">
        <v>439</v>
      </c>
      <c r="L59">
        <v>23.908064516128999</v>
      </c>
      <c r="N59">
        <v>56.215537634408598</v>
      </c>
      <c r="P59">
        <v>0.96495910906591897</v>
      </c>
      <c r="R59">
        <v>2.4790000892869699</v>
      </c>
    </row>
    <row r="60" spans="1:18" ht="15" customHeight="1" x14ac:dyDescent="0.2">
      <c r="A60" t="s">
        <v>547</v>
      </c>
      <c r="B60">
        <v>2018</v>
      </c>
      <c r="C60">
        <v>9</v>
      </c>
      <c r="D60">
        <v>54.835000000000001</v>
      </c>
      <c r="E60">
        <v>50.020973144373201</v>
      </c>
      <c r="F60">
        <v>0.91220886558535896</v>
      </c>
      <c r="G60">
        <v>27.686666666666699</v>
      </c>
      <c r="H60">
        <v>24.770666666666699</v>
      </c>
      <c r="I60">
        <v>64.043066666666704</v>
      </c>
      <c r="J60">
        <v>6194.5677500000002</v>
      </c>
      <c r="K60" t="s">
        <v>439</v>
      </c>
      <c r="L60">
        <v>27.686666666666699</v>
      </c>
      <c r="N60">
        <v>54.835000000000001</v>
      </c>
      <c r="P60">
        <v>0.91220886558535896</v>
      </c>
      <c r="R60">
        <v>2.7280675336845501</v>
      </c>
    </row>
    <row r="61" spans="1:18" ht="15" customHeight="1" x14ac:dyDescent="0.2">
      <c r="A61" t="s">
        <v>548</v>
      </c>
      <c r="B61">
        <v>2018</v>
      </c>
      <c r="C61">
        <v>10</v>
      </c>
      <c r="D61">
        <v>53.082123655914003</v>
      </c>
      <c r="E61">
        <v>45.997486632522197</v>
      </c>
      <c r="F61">
        <v>0.86653440865863895</v>
      </c>
      <c r="G61">
        <v>25.568548387096801</v>
      </c>
      <c r="H61">
        <v>23.9716129032258</v>
      </c>
      <c r="I61">
        <v>59.527161290322603</v>
      </c>
      <c r="J61">
        <v>8735.7697499999995</v>
      </c>
      <c r="K61" t="s">
        <v>439</v>
      </c>
      <c r="L61">
        <v>25.568548387096801</v>
      </c>
      <c r="N61">
        <v>53.082123655914003</v>
      </c>
      <c r="P61">
        <v>0.86653440865863895</v>
      </c>
      <c r="R61">
        <v>2.9058978468343999</v>
      </c>
    </row>
    <row r="62" spans="1:18" ht="15" customHeight="1" x14ac:dyDescent="0.2">
      <c r="A62" t="s">
        <v>549</v>
      </c>
      <c r="B62">
        <v>2018</v>
      </c>
      <c r="C62">
        <v>11</v>
      </c>
      <c r="D62">
        <v>56.680833333333297</v>
      </c>
      <c r="E62">
        <v>53.093034292992897</v>
      </c>
      <c r="F62">
        <v>0.93670172385714601</v>
      </c>
      <c r="G62">
        <v>24.628333333333298</v>
      </c>
      <c r="H62">
        <v>22.2776666666667</v>
      </c>
      <c r="I62">
        <v>57.053849999999997</v>
      </c>
      <c r="J62">
        <v>7965.8712500000001</v>
      </c>
      <c r="K62" t="s">
        <v>439</v>
      </c>
      <c r="L62">
        <v>24.628333333333298</v>
      </c>
      <c r="N62">
        <v>56.680833333333297</v>
      </c>
      <c r="P62">
        <v>0.93670172385714601</v>
      </c>
      <c r="R62">
        <v>3.4250218263448602</v>
      </c>
    </row>
    <row r="63" spans="1:18" ht="15" customHeight="1" x14ac:dyDescent="0.2">
      <c r="A63" t="s">
        <v>550</v>
      </c>
      <c r="B63">
        <v>2018</v>
      </c>
      <c r="C63">
        <v>12</v>
      </c>
      <c r="D63">
        <v>48.110604838709698</v>
      </c>
      <c r="E63">
        <v>41.641296700661201</v>
      </c>
      <c r="F63">
        <v>0.86553259598924703</v>
      </c>
      <c r="G63">
        <v>23.766935483870999</v>
      </c>
      <c r="H63">
        <v>25.871612903225799</v>
      </c>
      <c r="I63">
        <v>56.588935483870998</v>
      </c>
      <c r="J63">
        <v>12018.416999999999</v>
      </c>
      <c r="K63" t="s">
        <v>439</v>
      </c>
      <c r="L63">
        <v>23.766935483870999</v>
      </c>
      <c r="N63">
        <v>48.110604838709698</v>
      </c>
      <c r="P63">
        <v>0.86553259598924703</v>
      </c>
      <c r="R63">
        <v>3.2586142251947501</v>
      </c>
    </row>
    <row r="64" spans="1:18" ht="15" customHeight="1" x14ac:dyDescent="0.2">
      <c r="A64" t="s">
        <v>551</v>
      </c>
      <c r="B64">
        <v>2019</v>
      </c>
      <c r="C64">
        <v>1</v>
      </c>
      <c r="D64">
        <v>49.413844086021498</v>
      </c>
      <c r="E64">
        <v>40.541554331078402</v>
      </c>
      <c r="F64">
        <v>0.82044931093606399</v>
      </c>
      <c r="G64">
        <v>21.574999999999999</v>
      </c>
      <c r="H64">
        <v>26.159032258064499</v>
      </c>
      <c r="I64">
        <v>52.305661290322597</v>
      </c>
      <c r="J64">
        <v>12480.7695</v>
      </c>
      <c r="K64" t="s">
        <v>439</v>
      </c>
      <c r="L64">
        <v>21.574999999999999</v>
      </c>
      <c r="N64">
        <v>49.413844086021498</v>
      </c>
      <c r="P64">
        <v>0.82044931093606399</v>
      </c>
      <c r="R64">
        <v>2.8569852336547998</v>
      </c>
    </row>
    <row r="65" spans="1:18" ht="15" customHeight="1" x14ac:dyDescent="0.2">
      <c r="A65" t="s">
        <v>552</v>
      </c>
      <c r="B65">
        <v>2019</v>
      </c>
      <c r="C65">
        <v>2</v>
      </c>
      <c r="D65">
        <v>42.814613095238101</v>
      </c>
      <c r="E65">
        <v>38.873490448716801</v>
      </c>
      <c r="F65">
        <v>0.90794912387145499</v>
      </c>
      <c r="G65">
        <v>18.045535714285698</v>
      </c>
      <c r="H65">
        <v>23.258214285714299</v>
      </c>
      <c r="I65">
        <v>44.231446428571402</v>
      </c>
      <c r="J65">
        <v>8839.4252500000002</v>
      </c>
      <c r="K65" t="s">
        <v>439</v>
      </c>
      <c r="L65">
        <v>18.045535714285698</v>
      </c>
      <c r="N65">
        <v>42.814613095238101</v>
      </c>
      <c r="P65">
        <v>0.90794912387145499</v>
      </c>
      <c r="R65">
        <v>2.0879577090692401</v>
      </c>
    </row>
    <row r="66" spans="1:18" ht="15" customHeight="1" x14ac:dyDescent="0.2">
      <c r="A66" t="s">
        <v>553</v>
      </c>
      <c r="B66">
        <v>2019</v>
      </c>
      <c r="C66">
        <v>3</v>
      </c>
      <c r="D66">
        <v>30.614852150537601</v>
      </c>
      <c r="E66">
        <v>25.451067095767499</v>
      </c>
      <c r="F66">
        <v>0.83133072048236401</v>
      </c>
      <c r="G66">
        <v>15.7129032258065</v>
      </c>
      <c r="H66">
        <v>24.054838709677401</v>
      </c>
      <c r="I66">
        <v>39.844999999999999</v>
      </c>
      <c r="J66">
        <v>13698.528</v>
      </c>
      <c r="K66" t="s">
        <v>439</v>
      </c>
      <c r="L66">
        <v>15.7129032258065</v>
      </c>
      <c r="N66">
        <v>30.614852150537601</v>
      </c>
      <c r="P66">
        <v>0.83133072048236401</v>
      </c>
      <c r="R66">
        <v>2.2942862432131101</v>
      </c>
    </row>
    <row r="67" spans="1:18" ht="15" customHeight="1" x14ac:dyDescent="0.2">
      <c r="A67" t="s">
        <v>554</v>
      </c>
      <c r="B67">
        <v>2019</v>
      </c>
      <c r="C67">
        <v>4</v>
      </c>
      <c r="D67">
        <v>36.972819444444497</v>
      </c>
      <c r="E67">
        <v>34.142152332002901</v>
      </c>
      <c r="F67">
        <v>0.92343924117837595</v>
      </c>
      <c r="G67">
        <v>15.1008333333333</v>
      </c>
      <c r="H67">
        <v>27.687999999999999</v>
      </c>
      <c r="I67">
        <v>39.892466666666699</v>
      </c>
      <c r="J67">
        <v>7261.076</v>
      </c>
      <c r="K67" t="s">
        <v>439</v>
      </c>
      <c r="L67">
        <v>15.1008333333333</v>
      </c>
      <c r="N67">
        <v>36.972819444444497</v>
      </c>
      <c r="P67">
        <v>0.92343924117837595</v>
      </c>
      <c r="R67">
        <v>1.8795223960260901</v>
      </c>
    </row>
    <row r="68" spans="1:18" ht="15" customHeight="1" x14ac:dyDescent="0.2">
      <c r="A68" t="s">
        <v>555</v>
      </c>
      <c r="B68">
        <v>2019</v>
      </c>
      <c r="C68">
        <v>5</v>
      </c>
      <c r="D68">
        <v>37.832083333333301</v>
      </c>
      <c r="E68">
        <v>36.7635338796075</v>
      </c>
      <c r="F68">
        <v>0.97175546891481102</v>
      </c>
      <c r="G68">
        <v>13.35</v>
      </c>
      <c r="H68">
        <v>27.02</v>
      </c>
      <c r="I68">
        <v>36.156999999999996</v>
      </c>
      <c r="J68">
        <v>6406.81</v>
      </c>
      <c r="K68" t="s">
        <v>439</v>
      </c>
      <c r="L68">
        <v>13.35</v>
      </c>
      <c r="N68">
        <v>37.832083333333301</v>
      </c>
      <c r="P68">
        <v>0.97175546891481102</v>
      </c>
      <c r="R68">
        <v>1.6494007803258199</v>
      </c>
    </row>
    <row r="69" spans="1:18" ht="15" customHeight="1" x14ac:dyDescent="0.2">
      <c r="A69" t="s">
        <v>556</v>
      </c>
      <c r="B69">
        <v>2019</v>
      </c>
      <c r="C69">
        <v>6</v>
      </c>
      <c r="D69">
        <v>32.504458333333297</v>
      </c>
      <c r="E69">
        <v>26.708705609467501</v>
      </c>
      <c r="F69">
        <v>0.82169360693753501</v>
      </c>
      <c r="G69">
        <v>10.588333333333299</v>
      </c>
      <c r="H69">
        <v>26.753333333333298</v>
      </c>
      <c r="I69">
        <v>30.540333333333301</v>
      </c>
      <c r="J69">
        <v>5119.8487500000001</v>
      </c>
      <c r="K69" t="s">
        <v>439</v>
      </c>
      <c r="L69">
        <v>10.588333333333299</v>
      </c>
      <c r="N69">
        <v>32.504458333333297</v>
      </c>
      <c r="P69">
        <v>0.82169360693753501</v>
      </c>
      <c r="R69">
        <v>1.57901106701552</v>
      </c>
    </row>
    <row r="70" spans="1:18" ht="15" customHeight="1" x14ac:dyDescent="0.2">
      <c r="A70" t="s">
        <v>557</v>
      </c>
      <c r="B70">
        <v>2019</v>
      </c>
      <c r="C70">
        <v>7</v>
      </c>
      <c r="D70">
        <v>39.713064516129002</v>
      </c>
      <c r="E70">
        <v>37.316020921177802</v>
      </c>
      <c r="F70">
        <v>0.93964093116063196</v>
      </c>
      <c r="G70">
        <v>10.996774193548401</v>
      </c>
      <c r="H70">
        <v>29.954193548387099</v>
      </c>
      <c r="I70">
        <v>32.477516129032303</v>
      </c>
      <c r="J70">
        <v>4889.9184999999998</v>
      </c>
      <c r="K70" t="s">
        <v>439</v>
      </c>
      <c r="L70">
        <v>10.996774193548401</v>
      </c>
      <c r="N70">
        <v>39.713064516129002</v>
      </c>
      <c r="P70">
        <v>0.93964093116063196</v>
      </c>
      <c r="R70">
        <v>1.39764346832174</v>
      </c>
    </row>
    <row r="71" spans="1:18" ht="15" customHeight="1" x14ac:dyDescent="0.2">
      <c r="A71" t="s">
        <v>558</v>
      </c>
      <c r="B71">
        <v>2019</v>
      </c>
      <c r="C71">
        <v>8</v>
      </c>
      <c r="D71">
        <v>36.818696236559099</v>
      </c>
      <c r="E71">
        <v>32.347514334653702</v>
      </c>
      <c r="F71">
        <v>0.87856218826494403</v>
      </c>
      <c r="G71">
        <v>10.056451612903199</v>
      </c>
      <c r="H71">
        <v>28.7293548387097</v>
      </c>
      <c r="I71">
        <v>30.168177419354802</v>
      </c>
      <c r="J71">
        <v>4461.9944999999998</v>
      </c>
      <c r="K71" t="s">
        <v>439</v>
      </c>
      <c r="L71">
        <v>10.056451612903199</v>
      </c>
      <c r="N71">
        <v>36.818696236559099</v>
      </c>
      <c r="P71">
        <v>0.87856218826494403</v>
      </c>
      <c r="R71">
        <v>1.24841687981126</v>
      </c>
    </row>
    <row r="72" spans="1:18" ht="15" customHeight="1" x14ac:dyDescent="0.2">
      <c r="A72" t="s">
        <v>559</v>
      </c>
      <c r="B72">
        <v>2019</v>
      </c>
      <c r="C72">
        <v>9</v>
      </c>
      <c r="D72">
        <v>35.765666666666696</v>
      </c>
      <c r="E72">
        <v>31.889179601539301</v>
      </c>
      <c r="F72">
        <v>0.89161429308012097</v>
      </c>
      <c r="G72">
        <v>9.5966666666666693</v>
      </c>
      <c r="H72">
        <v>27.2216666666667</v>
      </c>
      <c r="I72">
        <v>28.7209166666667</v>
      </c>
      <c r="J72">
        <v>7123.83</v>
      </c>
      <c r="K72" t="s">
        <v>439</v>
      </c>
      <c r="L72">
        <v>9.5966666666666693</v>
      </c>
      <c r="N72">
        <v>35.765666666666696</v>
      </c>
      <c r="P72">
        <v>0.89161429308012097</v>
      </c>
      <c r="R72">
        <v>1.20601644060503</v>
      </c>
    </row>
    <row r="73" spans="1:18" ht="15" customHeight="1" x14ac:dyDescent="0.2">
      <c r="A73" t="s">
        <v>560</v>
      </c>
      <c r="B73">
        <v>2019</v>
      </c>
      <c r="C73">
        <v>10</v>
      </c>
      <c r="D73">
        <v>36.9475403225807</v>
      </c>
      <c r="E73">
        <v>33.5684267180661</v>
      </c>
      <c r="F73">
        <v>0.90854293479316095</v>
      </c>
      <c r="G73">
        <v>10.4145161290323</v>
      </c>
      <c r="H73">
        <v>25.996774193548401</v>
      </c>
      <c r="I73">
        <v>29.927903225806499</v>
      </c>
      <c r="J73">
        <v>9333.5842499999999</v>
      </c>
      <c r="K73" t="s">
        <v>439</v>
      </c>
      <c r="L73">
        <v>10.4145161290323</v>
      </c>
      <c r="N73">
        <v>36.9475403225807</v>
      </c>
      <c r="P73">
        <v>0.90854293479316095</v>
      </c>
      <c r="R73">
        <v>1.1496190093873999</v>
      </c>
    </row>
    <row r="74" spans="1:18" ht="15" customHeight="1" x14ac:dyDescent="0.2">
      <c r="A74" t="s">
        <v>561</v>
      </c>
      <c r="B74">
        <v>2019</v>
      </c>
      <c r="C74">
        <v>11</v>
      </c>
      <c r="D74">
        <v>41.004833333333302</v>
      </c>
      <c r="E74">
        <v>38.253712078409997</v>
      </c>
      <c r="F74">
        <v>0.93290739087855601</v>
      </c>
      <c r="G74">
        <v>14.6308333333333</v>
      </c>
      <c r="H74">
        <v>25.687999999999999</v>
      </c>
      <c r="I74">
        <v>38.252466666666699</v>
      </c>
      <c r="J74">
        <v>7841.95</v>
      </c>
      <c r="K74" t="s">
        <v>439</v>
      </c>
      <c r="L74">
        <v>14.6308333333333</v>
      </c>
      <c r="N74">
        <v>41.004833333333302</v>
      </c>
      <c r="P74">
        <v>0.93290739087855601</v>
      </c>
      <c r="R74">
        <v>0.91230339237692504</v>
      </c>
    </row>
    <row r="75" spans="1:18" ht="15" customHeight="1" x14ac:dyDescent="0.2">
      <c r="A75" t="s">
        <v>562</v>
      </c>
      <c r="B75">
        <v>2019</v>
      </c>
      <c r="C75">
        <v>12</v>
      </c>
      <c r="D75">
        <v>31.970618279569901</v>
      </c>
      <c r="E75">
        <v>27.7563781584001</v>
      </c>
      <c r="F75">
        <v>0.86818396552991295</v>
      </c>
      <c r="G75">
        <v>13.220161290322601</v>
      </c>
      <c r="H75">
        <v>26.423548387096801</v>
      </c>
      <c r="I75">
        <v>35.688564516128999</v>
      </c>
      <c r="J75">
        <v>12164.102999999999</v>
      </c>
      <c r="K75" t="s">
        <v>439</v>
      </c>
      <c r="L75">
        <v>13.220161290322601</v>
      </c>
      <c r="N75">
        <v>31.970618279569901</v>
      </c>
      <c r="P75">
        <v>0.86818396552991295</v>
      </c>
      <c r="R75">
        <v>0.88615808414097597</v>
      </c>
    </row>
    <row r="76" spans="1:18" ht="15" customHeight="1" x14ac:dyDescent="0.2">
      <c r="A76" t="s">
        <v>563</v>
      </c>
      <c r="B76">
        <v>2020</v>
      </c>
      <c r="C76">
        <v>1</v>
      </c>
      <c r="D76">
        <v>34.978709677419403</v>
      </c>
      <c r="E76">
        <v>31.711640459739701</v>
      </c>
      <c r="F76">
        <v>0.90659834945859297</v>
      </c>
      <c r="G76">
        <v>11.220161290322601</v>
      </c>
      <c r="H76">
        <v>25.411290322580601</v>
      </c>
      <c r="I76">
        <v>31.334274193548399</v>
      </c>
      <c r="J76">
        <v>12694.580250000001</v>
      </c>
      <c r="K76" t="s">
        <v>439</v>
      </c>
      <c r="L76">
        <v>11.220161290322601</v>
      </c>
      <c r="N76">
        <v>34.978709677419403</v>
      </c>
      <c r="P76">
        <v>0.90659834945859297</v>
      </c>
      <c r="R76">
        <v>0.37874422879834702</v>
      </c>
    </row>
    <row r="77" spans="1:18" ht="15" customHeight="1" x14ac:dyDescent="0.2">
      <c r="A77" t="s">
        <v>564</v>
      </c>
      <c r="B77">
        <v>2020</v>
      </c>
      <c r="C77">
        <v>2</v>
      </c>
      <c r="D77">
        <v>21.911839080459799</v>
      </c>
      <c r="E77">
        <v>18.275404998107</v>
      </c>
      <c r="F77">
        <v>0.83404249780221995</v>
      </c>
      <c r="G77">
        <v>9.3887931034482808</v>
      </c>
      <c r="H77">
        <v>24.919310344827601</v>
      </c>
      <c r="I77">
        <v>27.499344827586199</v>
      </c>
      <c r="J77">
        <v>17271.759999999998</v>
      </c>
      <c r="K77" t="s">
        <v>439</v>
      </c>
      <c r="L77">
        <v>9.3887931034482808</v>
      </c>
      <c r="N77">
        <v>21.911839080459799</v>
      </c>
      <c r="P77">
        <v>0.83404249780221995</v>
      </c>
      <c r="R77">
        <v>0.54086213254436699</v>
      </c>
    </row>
    <row r="78" spans="1:18" ht="15" customHeight="1" x14ac:dyDescent="0.2">
      <c r="A78" t="s">
        <v>565</v>
      </c>
      <c r="B78">
        <v>2020</v>
      </c>
      <c r="C78">
        <v>3</v>
      </c>
      <c r="D78">
        <v>22.519314516129</v>
      </c>
      <c r="E78">
        <v>19.592871383521299</v>
      </c>
      <c r="F78">
        <v>0.87004741505289995</v>
      </c>
      <c r="G78">
        <v>8.6112903225806505</v>
      </c>
      <c r="H78">
        <v>20.843548387096799</v>
      </c>
      <c r="I78">
        <v>24.517822580645198</v>
      </c>
      <c r="J78">
        <v>11537.575500000001</v>
      </c>
      <c r="K78" t="s">
        <v>439</v>
      </c>
      <c r="L78">
        <v>8.6112903225806505</v>
      </c>
      <c r="N78">
        <v>22.519314516129</v>
      </c>
      <c r="P78">
        <v>0.87004741505289995</v>
      </c>
      <c r="R78">
        <v>1.6532970665409901</v>
      </c>
    </row>
    <row r="79" spans="1:18" ht="15" customHeight="1" x14ac:dyDescent="0.2">
      <c r="A79" t="s">
        <v>566</v>
      </c>
      <c r="B79">
        <v>2020</v>
      </c>
      <c r="C79">
        <v>4</v>
      </c>
      <c r="D79">
        <v>17.049194444444499</v>
      </c>
      <c r="E79">
        <v>11.423679806873499</v>
      </c>
      <c r="F79">
        <v>0.67004220311394103</v>
      </c>
      <c r="G79">
        <v>6.6133333333333297</v>
      </c>
      <c r="H79">
        <v>21.428000000000001</v>
      </c>
      <c r="I79">
        <v>20.726466666666699</v>
      </c>
      <c r="J79">
        <v>6926.8252499999999</v>
      </c>
      <c r="K79" t="s">
        <v>439</v>
      </c>
      <c r="L79">
        <v>6.6133333333333297</v>
      </c>
      <c r="N79">
        <v>17.049194444444499</v>
      </c>
      <c r="P79">
        <v>0.67004220311394103</v>
      </c>
      <c r="R79">
        <v>2.6059359110025699</v>
      </c>
    </row>
    <row r="80" spans="1:18" ht="15" customHeight="1" x14ac:dyDescent="0.2">
      <c r="A80" t="s">
        <v>567</v>
      </c>
      <c r="B80">
        <v>2020</v>
      </c>
      <c r="C80">
        <v>5</v>
      </c>
      <c r="D80">
        <v>17.604879032258101</v>
      </c>
      <c r="E80">
        <v>13.9374377703065</v>
      </c>
      <c r="F80">
        <v>0.79168040545853102</v>
      </c>
      <c r="G80">
        <v>4.5048387096774203</v>
      </c>
      <c r="H80">
        <v>21.247741935483901</v>
      </c>
      <c r="I80">
        <v>16.446387096774199</v>
      </c>
      <c r="J80">
        <v>6038.0155000000004</v>
      </c>
      <c r="K80" t="s">
        <v>439</v>
      </c>
      <c r="L80">
        <v>4.5048387096774203</v>
      </c>
      <c r="N80">
        <v>17.604879032258101</v>
      </c>
      <c r="P80">
        <v>0.79168040545853102</v>
      </c>
      <c r="R80">
        <v>2.5700612827751499</v>
      </c>
    </row>
    <row r="81" spans="1:18" ht="15" customHeight="1" x14ac:dyDescent="0.2">
      <c r="A81" t="s">
        <v>568</v>
      </c>
      <c r="B81">
        <v>2020</v>
      </c>
      <c r="C81">
        <v>6</v>
      </c>
      <c r="D81">
        <v>26.2291666666667</v>
      </c>
      <c r="E81">
        <v>23.369001927434301</v>
      </c>
      <c r="F81">
        <v>0.89095479945738498</v>
      </c>
      <c r="G81">
        <v>4.9924999999999997</v>
      </c>
      <c r="H81">
        <v>24.713000000000001</v>
      </c>
      <c r="I81">
        <v>18.634550000000001</v>
      </c>
      <c r="J81">
        <v>4942.4727499999999</v>
      </c>
      <c r="K81" t="s">
        <v>439</v>
      </c>
      <c r="L81">
        <v>4.9924999999999997</v>
      </c>
      <c r="N81">
        <v>26.2291666666667</v>
      </c>
      <c r="P81">
        <v>0.89095479945738498</v>
      </c>
      <c r="R81">
        <v>2.19380335462249</v>
      </c>
    </row>
    <row r="82" spans="1:18" ht="15" customHeight="1" x14ac:dyDescent="0.2">
      <c r="A82" t="s">
        <v>569</v>
      </c>
      <c r="B82">
        <v>2020</v>
      </c>
      <c r="C82">
        <v>7</v>
      </c>
      <c r="D82">
        <v>30.0749462365591</v>
      </c>
      <c r="E82">
        <v>23.334954433521201</v>
      </c>
      <c r="F82">
        <v>0.77589347126264097</v>
      </c>
      <c r="G82">
        <v>4.8612903225806496</v>
      </c>
      <c r="H82">
        <v>28.9835483870968</v>
      </c>
      <c r="I82">
        <v>19.866822580645199</v>
      </c>
      <c r="J82">
        <v>5419.6707500000002</v>
      </c>
      <c r="K82" t="s">
        <v>439</v>
      </c>
      <c r="L82">
        <v>4.8612903225806496</v>
      </c>
      <c r="N82">
        <v>30.0749462365591</v>
      </c>
      <c r="P82">
        <v>0.77589347126264097</v>
      </c>
      <c r="R82">
        <v>1.73099927552703</v>
      </c>
    </row>
    <row r="83" spans="1:18" ht="15" customHeight="1" x14ac:dyDescent="0.2">
      <c r="A83" t="s">
        <v>570</v>
      </c>
      <c r="B83">
        <v>2020</v>
      </c>
      <c r="C83">
        <v>8</v>
      </c>
      <c r="D83">
        <v>34.889704301075298</v>
      </c>
      <c r="E83">
        <v>31.767509737151901</v>
      </c>
      <c r="F83">
        <v>0.91051243836918605</v>
      </c>
      <c r="G83">
        <v>7.4346774193548404</v>
      </c>
      <c r="H83">
        <v>28.312258064516101</v>
      </c>
      <c r="I83">
        <v>24.778645161290299</v>
      </c>
      <c r="J83">
        <v>5164.1554999999998</v>
      </c>
      <c r="K83" t="s">
        <v>439</v>
      </c>
      <c r="L83">
        <v>7.4346774193548404</v>
      </c>
      <c r="N83">
        <v>34.889704301075298</v>
      </c>
      <c r="P83">
        <v>0.91051243836918605</v>
      </c>
      <c r="R83">
        <v>1.5767544293385301</v>
      </c>
    </row>
    <row r="84" spans="1:18" ht="15" customHeight="1" x14ac:dyDescent="0.2">
      <c r="A84" t="s">
        <v>571</v>
      </c>
      <c r="B84">
        <v>2020</v>
      </c>
      <c r="C84">
        <v>9</v>
      </c>
      <c r="D84">
        <v>43.678097222222199</v>
      </c>
      <c r="E84">
        <v>39.980772358449997</v>
      </c>
      <c r="F84">
        <v>0.91535059677711705</v>
      </c>
      <c r="G84">
        <v>11.1625</v>
      </c>
      <c r="H84">
        <v>28.904</v>
      </c>
      <c r="I84">
        <v>32.441400000000002</v>
      </c>
      <c r="J84">
        <v>4647.9127500000004</v>
      </c>
      <c r="K84" t="s">
        <v>439</v>
      </c>
      <c r="L84">
        <v>11.1625</v>
      </c>
      <c r="N84">
        <v>43.678097222222199</v>
      </c>
      <c r="P84">
        <v>0.91535059677711705</v>
      </c>
      <c r="R84">
        <v>1.7429162858012099</v>
      </c>
    </row>
    <row r="85" spans="1:18" ht="15" customHeight="1" x14ac:dyDescent="0.2">
      <c r="A85" t="s">
        <v>572</v>
      </c>
      <c r="B85">
        <v>2020</v>
      </c>
      <c r="C85">
        <v>10</v>
      </c>
      <c r="D85">
        <v>33.955900537634399</v>
      </c>
      <c r="E85">
        <v>31.617801703310299</v>
      </c>
      <c r="F85">
        <v>0.931143076834827</v>
      </c>
      <c r="G85">
        <v>13.912903225806501</v>
      </c>
      <c r="H85">
        <v>26.218387096774201</v>
      </c>
      <c r="I85">
        <v>37.002241935483902</v>
      </c>
      <c r="J85">
        <v>10822.07425</v>
      </c>
      <c r="K85" t="s">
        <v>439</v>
      </c>
      <c r="L85">
        <v>13.912903225806501</v>
      </c>
      <c r="N85">
        <v>33.955900537634399</v>
      </c>
      <c r="P85">
        <v>0.931143076834827</v>
      </c>
      <c r="R85">
        <v>1.55484872353857</v>
      </c>
    </row>
    <row r="86" spans="1:18" ht="15" customHeight="1" x14ac:dyDescent="0.2">
      <c r="A86" t="s">
        <v>573</v>
      </c>
      <c r="B86">
        <v>2020</v>
      </c>
      <c r="C86">
        <v>11</v>
      </c>
      <c r="D86">
        <v>38.796513888888903</v>
      </c>
      <c r="E86">
        <v>33.018809007506903</v>
      </c>
      <c r="F86">
        <v>0.851076699882647</v>
      </c>
      <c r="G86">
        <v>13.7741666666667</v>
      </c>
      <c r="H86">
        <v>27.269666666666701</v>
      </c>
      <c r="I86">
        <v>37.092716666666703</v>
      </c>
      <c r="J86">
        <v>8641.7447499999998</v>
      </c>
      <c r="K86" t="s">
        <v>439</v>
      </c>
      <c r="L86">
        <v>13.7741666666667</v>
      </c>
      <c r="N86">
        <v>38.796513888888903</v>
      </c>
      <c r="P86">
        <v>0.851076699882647</v>
      </c>
      <c r="R86">
        <v>1.50655421581115</v>
      </c>
    </row>
    <row r="87" spans="1:18" ht="15" customHeight="1" x14ac:dyDescent="0.2">
      <c r="A87" t="s">
        <v>574</v>
      </c>
      <c r="B87">
        <v>2020</v>
      </c>
      <c r="C87">
        <v>12</v>
      </c>
      <c r="D87">
        <v>43.545053763440897</v>
      </c>
      <c r="E87">
        <v>35.885671330268998</v>
      </c>
      <c r="F87">
        <v>0.82410442125570504</v>
      </c>
      <c r="G87">
        <v>16.317741935483902</v>
      </c>
      <c r="H87">
        <v>31.739354838709701</v>
      </c>
      <c r="I87">
        <v>43.744258064516103</v>
      </c>
      <c r="J87">
        <v>8997.8994999999995</v>
      </c>
      <c r="K87" t="s">
        <v>439</v>
      </c>
      <c r="L87">
        <v>16.317741935483902</v>
      </c>
      <c r="N87">
        <v>43.545053763440897</v>
      </c>
      <c r="P87">
        <v>0.82410442125570504</v>
      </c>
      <c r="R87">
        <v>1.72122104359439</v>
      </c>
    </row>
    <row r="88" spans="1:18" ht="15" customHeight="1" x14ac:dyDescent="0.2">
      <c r="A88" t="s">
        <v>575</v>
      </c>
      <c r="B88">
        <v>2021</v>
      </c>
      <c r="C88">
        <v>1</v>
      </c>
      <c r="D88">
        <v>52.7931989247312</v>
      </c>
      <c r="E88">
        <v>47.839893843793497</v>
      </c>
      <c r="F88">
        <v>0.90617531837766196</v>
      </c>
      <c r="G88">
        <v>20.420967741935499</v>
      </c>
      <c r="H88">
        <v>34.000322580645197</v>
      </c>
      <c r="I88">
        <v>52.742048387096801</v>
      </c>
      <c r="J88">
        <v>9258.8572499999991</v>
      </c>
      <c r="K88" t="s">
        <v>439</v>
      </c>
      <c r="L88">
        <v>20.420967741935499</v>
      </c>
      <c r="N88">
        <v>52.7931989247312</v>
      </c>
      <c r="P88">
        <v>0.90617531837766196</v>
      </c>
      <c r="R88">
        <v>1.83948251184028</v>
      </c>
    </row>
    <row r="89" spans="1:18" ht="15" customHeight="1" x14ac:dyDescent="0.2">
      <c r="A89" t="s">
        <v>576</v>
      </c>
      <c r="B89">
        <v>2021</v>
      </c>
      <c r="C89">
        <v>2</v>
      </c>
      <c r="D89">
        <v>48.706904761904802</v>
      </c>
      <c r="E89">
        <v>44.961553994501699</v>
      </c>
      <c r="F89">
        <v>0.92310431579030505</v>
      </c>
      <c r="G89">
        <v>17.387499999999999</v>
      </c>
      <c r="H89">
        <v>38.700714285714298</v>
      </c>
      <c r="I89">
        <v>48.320250000000001</v>
      </c>
      <c r="J89">
        <v>8469.9989999999998</v>
      </c>
      <c r="K89" t="s">
        <v>439</v>
      </c>
      <c r="L89">
        <v>17.387499999999999</v>
      </c>
      <c r="N89">
        <v>48.706904761904802</v>
      </c>
      <c r="P89">
        <v>0.92310431579030505</v>
      </c>
      <c r="R89">
        <v>1.87178238317171</v>
      </c>
    </row>
    <row r="90" spans="1:18" ht="15" customHeight="1" x14ac:dyDescent="0.2">
      <c r="A90" t="s">
        <v>577</v>
      </c>
      <c r="B90">
        <v>2021</v>
      </c>
      <c r="C90">
        <v>3</v>
      </c>
      <c r="D90">
        <v>47.181680107526901</v>
      </c>
      <c r="E90">
        <v>36.175090297031403</v>
      </c>
      <c r="F90">
        <v>0.76671899378293695</v>
      </c>
      <c r="G90">
        <v>17.791129032258102</v>
      </c>
      <c r="H90">
        <v>41.889032258064503</v>
      </c>
      <c r="I90">
        <v>50.2434193548387</v>
      </c>
      <c r="J90">
        <v>9106.4132499999996</v>
      </c>
      <c r="K90" t="s">
        <v>439</v>
      </c>
      <c r="L90">
        <v>17.791129032258102</v>
      </c>
      <c r="N90">
        <v>47.181680107526901</v>
      </c>
      <c r="P90">
        <v>0.76671899378293695</v>
      </c>
      <c r="R90">
        <v>1.81046984570384</v>
      </c>
    </row>
    <row r="91" spans="1:18" ht="15" customHeight="1" x14ac:dyDescent="0.2">
      <c r="A91" t="s">
        <v>578</v>
      </c>
      <c r="B91">
        <v>2021</v>
      </c>
      <c r="C91">
        <v>4</v>
      </c>
      <c r="D91">
        <v>53.657152777777803</v>
      </c>
      <c r="E91">
        <v>46.344995781959398</v>
      </c>
      <c r="F91">
        <v>0.863724468830804</v>
      </c>
      <c r="G91">
        <v>20.5833333333333</v>
      </c>
      <c r="H91">
        <v>45.874666666666698</v>
      </c>
      <c r="I91">
        <v>57.222799999999999</v>
      </c>
      <c r="J91">
        <v>7753.67425</v>
      </c>
      <c r="K91" t="s">
        <v>439</v>
      </c>
      <c r="L91">
        <v>20.5833333333333</v>
      </c>
      <c r="N91">
        <v>53.657152777777803</v>
      </c>
      <c r="P91">
        <v>0.863724468830804</v>
      </c>
      <c r="R91">
        <v>1.6788777806274899</v>
      </c>
    </row>
    <row r="92" spans="1:18" ht="15" customHeight="1" x14ac:dyDescent="0.2">
      <c r="A92" t="s">
        <v>579</v>
      </c>
      <c r="B92">
        <v>2021</v>
      </c>
      <c r="C92">
        <v>5</v>
      </c>
      <c r="D92">
        <v>53.331505376344097</v>
      </c>
      <c r="E92">
        <v>44.980108834503298</v>
      </c>
      <c r="F92">
        <v>0.84340594770562904</v>
      </c>
      <c r="G92">
        <v>25.349193548387099</v>
      </c>
      <c r="H92">
        <v>53.521612903225801</v>
      </c>
      <c r="I92">
        <v>69.4309516129032</v>
      </c>
      <c r="J92">
        <v>8786.0617500000008</v>
      </c>
      <c r="K92" t="s">
        <v>439</v>
      </c>
      <c r="L92">
        <v>25.349193548387099</v>
      </c>
      <c r="N92">
        <v>53.331505376344097</v>
      </c>
      <c r="P92">
        <v>0.84340594770562904</v>
      </c>
      <c r="R92">
        <v>1.34119593280726</v>
      </c>
    </row>
    <row r="93" spans="1:18" ht="15" customHeight="1" x14ac:dyDescent="0.2">
      <c r="A93" t="s">
        <v>580</v>
      </c>
      <c r="B93">
        <v>2021</v>
      </c>
      <c r="C93">
        <v>6</v>
      </c>
      <c r="D93">
        <v>74.130722222222204</v>
      </c>
      <c r="E93">
        <v>67.170415946649499</v>
      </c>
      <c r="F93">
        <v>0.906107669439565</v>
      </c>
      <c r="G93">
        <v>29.246666666666702</v>
      </c>
      <c r="H93">
        <v>53.905333333333303</v>
      </c>
      <c r="I93">
        <v>77.360200000000006</v>
      </c>
      <c r="J93">
        <v>3380.5619999999999</v>
      </c>
      <c r="K93" t="s">
        <v>439</v>
      </c>
      <c r="L93">
        <v>29.246666666666702</v>
      </c>
      <c r="N93">
        <v>74.130722222222204</v>
      </c>
      <c r="P93">
        <v>0.906107669439565</v>
      </c>
      <c r="R93">
        <v>1.5589559021708199</v>
      </c>
    </row>
    <row r="94" spans="1:18" ht="15" customHeight="1" x14ac:dyDescent="0.2">
      <c r="A94" t="s">
        <v>581</v>
      </c>
      <c r="B94">
        <v>2021</v>
      </c>
      <c r="C94">
        <v>7</v>
      </c>
      <c r="D94">
        <v>81.294892473118296</v>
      </c>
      <c r="E94">
        <v>71.884392644276005</v>
      </c>
      <c r="F94">
        <v>0.88424242233970496</v>
      </c>
      <c r="G94">
        <v>36.130645161290303</v>
      </c>
      <c r="H94">
        <v>54.5651612903226</v>
      </c>
      <c r="I94">
        <v>91.359096774193603</v>
      </c>
      <c r="J94">
        <v>4660.0777500000004</v>
      </c>
      <c r="K94" t="s">
        <v>436</v>
      </c>
      <c r="M94">
        <v>36.130645161290303</v>
      </c>
      <c r="O94">
        <v>81.294892473118296</v>
      </c>
      <c r="Q94">
        <v>0.88424242233970496</v>
      </c>
      <c r="R94">
        <v>1.70876449035538</v>
      </c>
    </row>
    <row r="95" spans="1:18" ht="15" customHeight="1" x14ac:dyDescent="0.2">
      <c r="A95" t="s">
        <v>582</v>
      </c>
      <c r="B95">
        <v>2021</v>
      </c>
      <c r="C95">
        <v>8</v>
      </c>
      <c r="D95">
        <v>82.811854838709706</v>
      </c>
      <c r="E95">
        <v>75.739423644884596</v>
      </c>
      <c r="F95">
        <v>0.91459639193446496</v>
      </c>
      <c r="G95">
        <v>44.15</v>
      </c>
      <c r="H95">
        <v>57.485161290322601</v>
      </c>
      <c r="I95">
        <v>108.419806451613</v>
      </c>
      <c r="J95">
        <v>6146.4475000000002</v>
      </c>
      <c r="K95" t="s">
        <v>436</v>
      </c>
      <c r="M95">
        <v>44.15</v>
      </c>
      <c r="O95">
        <v>82.811854838709706</v>
      </c>
      <c r="Q95">
        <v>0.91459639193446496</v>
      </c>
      <c r="R95">
        <v>1.5560188191757101</v>
      </c>
    </row>
    <row r="96" spans="1:18" ht="15" customHeight="1" x14ac:dyDescent="0.2">
      <c r="A96" t="s">
        <v>583</v>
      </c>
      <c r="B96">
        <v>2021</v>
      </c>
      <c r="C96">
        <v>9</v>
      </c>
      <c r="D96">
        <v>128.33577777777799</v>
      </c>
      <c r="E96">
        <v>121.724535599788</v>
      </c>
      <c r="F96">
        <v>0.94848480842623895</v>
      </c>
      <c r="G96">
        <v>63.615833333333299</v>
      </c>
      <c r="H96">
        <v>62.2693333333333</v>
      </c>
      <c r="I96">
        <v>149.025933333333</v>
      </c>
      <c r="J96">
        <v>4491.2510000000002</v>
      </c>
      <c r="K96" t="s">
        <v>436</v>
      </c>
      <c r="M96">
        <v>63.615833333333299</v>
      </c>
      <c r="O96">
        <v>128.33577777777799</v>
      </c>
      <c r="Q96">
        <v>0.94848480842623895</v>
      </c>
      <c r="R96">
        <v>1.7380537845810899</v>
      </c>
    </row>
    <row r="97" spans="1:18" ht="15" customHeight="1" x14ac:dyDescent="0.2">
      <c r="A97" t="s">
        <v>584</v>
      </c>
      <c r="B97">
        <v>2021</v>
      </c>
      <c r="C97">
        <v>10</v>
      </c>
      <c r="D97">
        <v>139.54338709677401</v>
      </c>
      <c r="E97">
        <v>116.656362384556</v>
      </c>
      <c r="F97">
        <v>0.83598631803063495</v>
      </c>
      <c r="G97">
        <v>85.388709677419399</v>
      </c>
      <c r="H97">
        <v>60.533548387096801</v>
      </c>
      <c r="I97">
        <v>191.96416129032301</v>
      </c>
      <c r="J97">
        <v>10143.9205</v>
      </c>
      <c r="K97" t="s">
        <v>436</v>
      </c>
      <c r="M97">
        <v>85.388709677419399</v>
      </c>
      <c r="O97">
        <v>139.54338709677401</v>
      </c>
      <c r="Q97">
        <v>0.83598631803063495</v>
      </c>
      <c r="R97">
        <v>1.47741485786211</v>
      </c>
    </row>
    <row r="98" spans="1:18" ht="15" customHeight="1" x14ac:dyDescent="0.2">
      <c r="A98" t="s">
        <v>585</v>
      </c>
      <c r="B98">
        <v>2021</v>
      </c>
      <c r="C98">
        <v>11</v>
      </c>
      <c r="D98">
        <v>176.24584722222201</v>
      </c>
      <c r="E98">
        <v>149.321376274042</v>
      </c>
      <c r="F98">
        <v>0.84723344480149598</v>
      </c>
      <c r="G98">
        <v>81.738333333333301</v>
      </c>
      <c r="H98">
        <v>67.275333333333293</v>
      </c>
      <c r="I98">
        <v>187.02303333333299</v>
      </c>
      <c r="J98">
        <v>7801.0202499999996</v>
      </c>
      <c r="K98" t="s">
        <v>436</v>
      </c>
      <c r="M98">
        <v>81.738333333333301</v>
      </c>
      <c r="O98">
        <v>176.24584722222201</v>
      </c>
      <c r="Q98">
        <v>0.84723344480149598</v>
      </c>
      <c r="R98">
        <v>1.6701767485261401</v>
      </c>
    </row>
    <row r="99" spans="1:18" ht="15" customHeight="1" x14ac:dyDescent="0.2">
      <c r="A99" t="s">
        <v>586</v>
      </c>
      <c r="B99">
        <v>2021</v>
      </c>
      <c r="C99">
        <v>12</v>
      </c>
      <c r="D99">
        <v>220.956626344086</v>
      </c>
      <c r="E99">
        <v>175.14973186951099</v>
      </c>
      <c r="F99">
        <v>0.79268829709935196</v>
      </c>
      <c r="G99">
        <v>109.3</v>
      </c>
      <c r="H99">
        <v>80.642258064516099</v>
      </c>
      <c r="I99">
        <v>246.82479032258101</v>
      </c>
      <c r="J99">
        <v>9660.35275</v>
      </c>
      <c r="K99" t="s">
        <v>436</v>
      </c>
      <c r="M99">
        <v>109.3</v>
      </c>
      <c r="O99">
        <v>220.956626344086</v>
      </c>
      <c r="Q99">
        <v>0.79268829709935196</v>
      </c>
      <c r="R99">
        <v>1.7842016580036399</v>
      </c>
    </row>
    <row r="100" spans="1:18" ht="15" customHeight="1" x14ac:dyDescent="0.2">
      <c r="A100" t="s">
        <v>587</v>
      </c>
      <c r="B100">
        <v>2022</v>
      </c>
      <c r="C100">
        <v>1</v>
      </c>
      <c r="D100">
        <v>167.87455645161299</v>
      </c>
      <c r="E100">
        <v>138.632190343568</v>
      </c>
      <c r="F100">
        <v>0.82580823010856996</v>
      </c>
      <c r="G100">
        <v>83.779032258064504</v>
      </c>
      <c r="H100">
        <v>85.382258064516094</v>
      </c>
      <c r="I100">
        <v>197.44185483870999</v>
      </c>
      <c r="J100">
        <v>12900.112499999999</v>
      </c>
      <c r="K100" t="s">
        <v>436</v>
      </c>
      <c r="M100">
        <v>83.779032258064504</v>
      </c>
      <c r="O100">
        <v>167.87455645161299</v>
      </c>
      <c r="Q100">
        <v>0.82580823010856996</v>
      </c>
      <c r="R100">
        <v>1.7996716023666599</v>
      </c>
    </row>
    <row r="101" spans="1:18" ht="15" customHeight="1" x14ac:dyDescent="0.2">
      <c r="A101" t="s">
        <v>588</v>
      </c>
      <c r="B101">
        <v>2022</v>
      </c>
      <c r="C101">
        <v>2</v>
      </c>
      <c r="D101">
        <v>128.77741071428599</v>
      </c>
      <c r="E101">
        <v>114.395592772443</v>
      </c>
      <c r="F101">
        <v>0.888320336136039</v>
      </c>
      <c r="G101">
        <v>80.450892857142904</v>
      </c>
      <c r="H101">
        <v>92.740357142857206</v>
      </c>
      <c r="I101">
        <v>193.36091071428601</v>
      </c>
      <c r="J101">
        <v>17657.721000000001</v>
      </c>
      <c r="K101" t="s">
        <v>436</v>
      </c>
      <c r="M101">
        <v>80.450892857142904</v>
      </c>
      <c r="O101">
        <v>128.77741071428599</v>
      </c>
      <c r="Q101">
        <v>0.888320336136039</v>
      </c>
      <c r="R101">
        <v>1.7447249817478101</v>
      </c>
    </row>
    <row r="102" spans="1:18" ht="15" customHeight="1" x14ac:dyDescent="0.2">
      <c r="A102" t="s">
        <v>589</v>
      </c>
      <c r="B102">
        <v>2022</v>
      </c>
      <c r="C102">
        <v>3</v>
      </c>
      <c r="D102">
        <v>251.759784946237</v>
      </c>
      <c r="E102">
        <v>207.49440471883599</v>
      </c>
      <c r="F102">
        <v>0.82417612790361305</v>
      </c>
      <c r="G102">
        <v>126.67016129032299</v>
      </c>
      <c r="H102">
        <v>76.359677419354796</v>
      </c>
      <c r="I102">
        <v>280.06620967741901</v>
      </c>
      <c r="J102">
        <v>6718.1369999999997</v>
      </c>
      <c r="K102" t="s">
        <v>436</v>
      </c>
      <c r="M102">
        <v>126.67016129032299</v>
      </c>
      <c r="O102">
        <v>251.759784946237</v>
      </c>
      <c r="Q102">
        <v>0.82417612790361305</v>
      </c>
      <c r="R102">
        <v>1.82764697072589</v>
      </c>
    </row>
    <row r="103" spans="1:18" ht="15" customHeight="1" x14ac:dyDescent="0.2">
      <c r="A103" t="s">
        <v>590</v>
      </c>
      <c r="B103">
        <v>2022</v>
      </c>
      <c r="C103">
        <v>4</v>
      </c>
      <c r="D103">
        <v>166.00181944444401</v>
      </c>
      <c r="E103">
        <v>135.43921906759101</v>
      </c>
      <c r="F103">
        <v>0.815889967476643</v>
      </c>
      <c r="G103">
        <v>102.89166666666701</v>
      </c>
      <c r="H103">
        <v>83.551000000000002</v>
      </c>
      <c r="I103">
        <v>235.02618333333299</v>
      </c>
      <c r="J103">
        <v>9385.6684999999998</v>
      </c>
      <c r="K103" t="s">
        <v>436</v>
      </c>
      <c r="M103">
        <v>102.89166666666701</v>
      </c>
      <c r="O103">
        <v>166.00181944444401</v>
      </c>
      <c r="Q103">
        <v>0.815889967476643</v>
      </c>
      <c r="R103">
        <v>1.7712144970027399</v>
      </c>
    </row>
    <row r="104" spans="1:18" ht="15" customHeight="1" x14ac:dyDescent="0.2">
      <c r="A104" t="s">
        <v>591</v>
      </c>
      <c r="B104">
        <v>2022</v>
      </c>
      <c r="C104">
        <v>5</v>
      </c>
      <c r="D104">
        <v>177.506182795699</v>
      </c>
      <c r="E104">
        <v>147.280687081428</v>
      </c>
      <c r="F104">
        <v>0.82972144835620298</v>
      </c>
      <c r="G104">
        <v>89.608064516129005</v>
      </c>
      <c r="H104">
        <v>88.733548387096803</v>
      </c>
      <c r="I104">
        <v>210.27287096774199</v>
      </c>
      <c r="J104">
        <v>6362.9947499999998</v>
      </c>
      <c r="K104" t="s">
        <v>436</v>
      </c>
      <c r="M104">
        <v>89.608064516129005</v>
      </c>
      <c r="O104">
        <v>177.506182795699</v>
      </c>
      <c r="Q104">
        <v>0.82972144835620298</v>
      </c>
      <c r="R104">
        <v>1.76665341654651</v>
      </c>
    </row>
    <row r="105" spans="1:18" ht="15" customHeight="1" x14ac:dyDescent="0.2">
      <c r="A105" t="s">
        <v>592</v>
      </c>
      <c r="B105">
        <v>2022</v>
      </c>
      <c r="C105">
        <v>6</v>
      </c>
      <c r="D105">
        <v>218.182013888889</v>
      </c>
      <c r="E105">
        <v>205.40440862647799</v>
      </c>
      <c r="F105">
        <v>0.94143602841195895</v>
      </c>
      <c r="G105">
        <v>105.02</v>
      </c>
      <c r="H105">
        <v>86.987333333333297</v>
      </c>
      <c r="I105">
        <v>240.48556666666701</v>
      </c>
      <c r="J105">
        <v>4372.5214999999998</v>
      </c>
      <c r="K105" t="s">
        <v>436</v>
      </c>
      <c r="M105">
        <v>105.02</v>
      </c>
      <c r="O105">
        <v>218.182013888889</v>
      </c>
      <c r="Q105">
        <v>0.94143602841195895</v>
      </c>
      <c r="R105">
        <v>1.8964579526176699</v>
      </c>
    </row>
    <row r="106" spans="1:18" ht="15" customHeight="1" x14ac:dyDescent="0.2">
      <c r="A106" t="s">
        <v>593</v>
      </c>
      <c r="B106">
        <v>2022</v>
      </c>
      <c r="C106">
        <v>7</v>
      </c>
      <c r="D106">
        <v>315.26248655913997</v>
      </c>
      <c r="E106">
        <v>293.84043356165301</v>
      </c>
      <c r="F106">
        <v>0.93205010456114701</v>
      </c>
      <c r="G106">
        <v>169.38225806451601</v>
      </c>
      <c r="H106">
        <v>84.322258064516106</v>
      </c>
      <c r="I106">
        <v>368.27730645161301</v>
      </c>
      <c r="J106">
        <v>5458.47325</v>
      </c>
      <c r="K106" t="s">
        <v>436</v>
      </c>
      <c r="M106">
        <v>169.38225806451601</v>
      </c>
      <c r="O106">
        <v>315.26248655913997</v>
      </c>
      <c r="Q106">
        <v>0.93205010456114701</v>
      </c>
      <c r="R106">
        <v>1.8982628386159099</v>
      </c>
    </row>
    <row r="107" spans="1:18" ht="15" customHeight="1" x14ac:dyDescent="0.2">
      <c r="A107" t="s">
        <v>594</v>
      </c>
      <c r="B107">
        <v>2022</v>
      </c>
      <c r="C107">
        <v>8</v>
      </c>
      <c r="D107">
        <v>465.51416666666699</v>
      </c>
      <c r="E107">
        <v>464.63104623474902</v>
      </c>
      <c r="F107">
        <v>0.99810291394944795</v>
      </c>
      <c r="G107">
        <v>226.61048387096801</v>
      </c>
      <c r="H107">
        <v>91.144516129032297</v>
      </c>
      <c r="I107">
        <v>485.12154838709699</v>
      </c>
      <c r="J107">
        <v>3516.1657500000001</v>
      </c>
      <c r="K107" t="s">
        <v>436</v>
      </c>
      <c r="M107">
        <v>226.61048387096801</v>
      </c>
      <c r="O107">
        <v>465.51416666666699</v>
      </c>
      <c r="Q107">
        <v>0.99810291394944795</v>
      </c>
      <c r="R107">
        <v>2.0703685957931999</v>
      </c>
    </row>
    <row r="108" spans="1:18" ht="15" customHeight="1" x14ac:dyDescent="0.2">
      <c r="A108" t="s">
        <v>595</v>
      </c>
      <c r="B108">
        <v>2022</v>
      </c>
      <c r="C108">
        <v>9</v>
      </c>
      <c r="D108">
        <v>344.93855555555598</v>
      </c>
      <c r="E108">
        <v>293.85358161749701</v>
      </c>
      <c r="F108">
        <v>0.85190123540761797</v>
      </c>
      <c r="G108">
        <v>185.0025</v>
      </c>
      <c r="H108">
        <v>73.379000000000005</v>
      </c>
      <c r="I108">
        <v>395.68765000000002</v>
      </c>
      <c r="J108">
        <v>6178.7162500000004</v>
      </c>
      <c r="K108" t="s">
        <v>436</v>
      </c>
      <c r="M108">
        <v>185.0025</v>
      </c>
      <c r="O108">
        <v>344.93855555555598</v>
      </c>
      <c r="Q108">
        <v>0.85190123540761797</v>
      </c>
      <c r="R108">
        <v>2.0399353314726598</v>
      </c>
    </row>
    <row r="109" spans="1:18" ht="15" customHeight="1" x14ac:dyDescent="0.2">
      <c r="A109" t="s">
        <v>596</v>
      </c>
      <c r="B109">
        <v>2022</v>
      </c>
      <c r="C109">
        <v>10</v>
      </c>
      <c r="D109">
        <v>152.74534946236599</v>
      </c>
      <c r="E109">
        <v>135.27093102646</v>
      </c>
      <c r="F109">
        <v>0.88559770560994</v>
      </c>
      <c r="G109">
        <v>69.196774193548407</v>
      </c>
      <c r="H109">
        <v>73.403548387096805</v>
      </c>
      <c r="I109">
        <v>164.084790322581</v>
      </c>
      <c r="J109">
        <v>8474.8872499999998</v>
      </c>
      <c r="K109" t="s">
        <v>436</v>
      </c>
      <c r="M109">
        <v>69.196774193548407</v>
      </c>
      <c r="O109">
        <v>152.74534946236599</v>
      </c>
      <c r="Q109">
        <v>0.88559770560994</v>
      </c>
      <c r="R109">
        <v>1.9650876865515401</v>
      </c>
    </row>
    <row r="110" spans="1:18" ht="15" customHeight="1" x14ac:dyDescent="0.2">
      <c r="A110" t="s">
        <v>597</v>
      </c>
      <c r="B110">
        <v>2022</v>
      </c>
      <c r="C110">
        <v>11</v>
      </c>
      <c r="D110">
        <v>173.928</v>
      </c>
      <c r="E110">
        <v>143.50629492754399</v>
      </c>
      <c r="F110">
        <v>0.82509023807290505</v>
      </c>
      <c r="G110">
        <v>95.253333333333302</v>
      </c>
      <c r="H110">
        <v>79.312666666666701</v>
      </c>
      <c r="I110">
        <v>218.26609999999999</v>
      </c>
      <c r="J110">
        <v>10004.6945</v>
      </c>
      <c r="K110" t="s">
        <v>436</v>
      </c>
      <c r="M110">
        <v>95.253333333333302</v>
      </c>
      <c r="O110">
        <v>173.928</v>
      </c>
      <c r="Q110">
        <v>0.82509023807290505</v>
      </c>
      <c r="R110">
        <v>2.00244258894076</v>
      </c>
    </row>
    <row r="111" spans="1:18" ht="15" customHeight="1" x14ac:dyDescent="0.2">
      <c r="A111" t="s">
        <v>598</v>
      </c>
      <c r="B111">
        <v>2022</v>
      </c>
      <c r="C111">
        <v>12</v>
      </c>
      <c r="D111">
        <v>251.21689516129001</v>
      </c>
      <c r="E111">
        <v>155.99766172421201</v>
      </c>
      <c r="F111">
        <v>0.62096803490886199</v>
      </c>
      <c r="G111">
        <v>114.88225806451599</v>
      </c>
      <c r="H111">
        <v>89.320322580645197</v>
      </c>
      <c r="I111">
        <v>261.02662903225797</v>
      </c>
      <c r="J111">
        <v>9335.3072499999998</v>
      </c>
      <c r="K111" t="s">
        <v>436</v>
      </c>
      <c r="M111">
        <v>114.88225806451599</v>
      </c>
      <c r="O111">
        <v>251.21689516129001</v>
      </c>
      <c r="Q111">
        <v>0.62096803490886199</v>
      </c>
      <c r="R111">
        <v>2.0004740730614201</v>
      </c>
    </row>
    <row r="112" spans="1:18" ht="15" customHeight="1" x14ac:dyDescent="0.2">
      <c r="A112" t="s">
        <v>599</v>
      </c>
      <c r="B112">
        <v>2023</v>
      </c>
      <c r="C112">
        <v>1</v>
      </c>
      <c r="D112">
        <v>117.94370967741899</v>
      </c>
      <c r="E112">
        <v>92.902922378908897</v>
      </c>
      <c r="F112">
        <v>0.78768865786061903</v>
      </c>
      <c r="G112">
        <v>63.3774193548387</v>
      </c>
      <c r="H112">
        <v>83.023548387096795</v>
      </c>
      <c r="I112">
        <v>155.81308064516099</v>
      </c>
      <c r="J112">
        <v>14668.878500000001</v>
      </c>
      <c r="K112" t="s">
        <v>436</v>
      </c>
      <c r="M112">
        <v>63.3774193548387</v>
      </c>
      <c r="O112">
        <v>117.94370967741899</v>
      </c>
      <c r="Q112">
        <v>0.78768865786061903</v>
      </c>
      <c r="R112">
        <v>2.0135012412822402</v>
      </c>
    </row>
    <row r="113" spans="1:18" ht="15" customHeight="1" x14ac:dyDescent="0.2">
      <c r="A113" t="s">
        <v>600</v>
      </c>
      <c r="B113">
        <v>2023</v>
      </c>
      <c r="C113">
        <v>2</v>
      </c>
      <c r="D113">
        <v>128.39092261904801</v>
      </c>
      <c r="E113">
        <v>109.745856174758</v>
      </c>
      <c r="F113">
        <v>0.854778935582448</v>
      </c>
      <c r="G113">
        <v>53.532142857142901</v>
      </c>
      <c r="H113">
        <v>95</v>
      </c>
      <c r="I113">
        <v>140.314285714286</v>
      </c>
      <c r="J113">
        <v>10359.588</v>
      </c>
      <c r="K113" t="s">
        <v>436</v>
      </c>
      <c r="M113">
        <v>53.532142857142901</v>
      </c>
      <c r="O113">
        <v>128.39092261904801</v>
      </c>
      <c r="Q113">
        <v>0.854778935582448</v>
      </c>
      <c r="R113">
        <v>1.92216058890275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2"/>
  <sheetViews>
    <sheetView zoomScaleNormal="100" workbookViewId="0"/>
  </sheetViews>
  <sheetFormatPr baseColWidth="10" defaultColWidth="8.6640625" defaultRowHeight="15" x14ac:dyDescent="0.2"/>
  <cols>
    <col min="7" max="12" width="24" customWidth="1"/>
  </cols>
  <sheetData>
    <row r="1" spans="1:12" ht="15" customHeight="1" x14ac:dyDescent="0.2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s="78" t="s">
        <v>607</v>
      </c>
      <c r="H1" s="78" t="s">
        <v>608</v>
      </c>
      <c r="I1" s="78" t="s">
        <v>609</v>
      </c>
      <c r="J1" s="78" t="s">
        <v>610</v>
      </c>
      <c r="K1" s="78" t="s">
        <v>611</v>
      </c>
      <c r="L1" s="78" t="s">
        <v>612</v>
      </c>
    </row>
    <row r="2" spans="1:12" ht="15" customHeight="1" x14ac:dyDescent="0.2">
      <c r="A2">
        <v>0</v>
      </c>
      <c r="B2">
        <f>Breakeven_Analysis!$B$25*(Breakeven_Analysis!$B$21+Breakeven_Analysis!$B$22*A2)</f>
        <v>1.0530000000000002</v>
      </c>
      <c r="C2">
        <f>Breakeven_Analysis!$B$26*(Breakeven_Analysis!$B$21+Breakeven_Analysis!$B$22*A2)</f>
        <v>1.2150000000000001</v>
      </c>
      <c r="D2">
        <f>Breakeven_Analysis!$B$27*(Breakeven_Analysis!$B$21+Breakeven_Analysis!$B$22*A2)</f>
        <v>1.377</v>
      </c>
      <c r="E2" s="79">
        <f>Breakeven_Analysis!$B$7</f>
        <v>55</v>
      </c>
      <c r="F2" s="80">
        <f>Breakeven_Analysis!$G$36</f>
        <v>52.842960169181367</v>
      </c>
      <c r="G2" s="81">
        <f>Regressions!$C$31+Regressions!$D$31*A2</f>
        <v>15.53</v>
      </c>
      <c r="H2" s="81">
        <f>Breakeven_Analysis!$B$21+Breakeven_Analysis!$B$22*A2</f>
        <v>1.62</v>
      </c>
      <c r="I2" s="81">
        <f t="shared" ref="I2:I39" si="0">MAX(G2,H2)</f>
        <v>15.53</v>
      </c>
      <c r="J2" s="81">
        <f>Breakeven_Analysis!$B$25*I2</f>
        <v>10.0945</v>
      </c>
      <c r="K2" s="81">
        <f>Breakeven_Analysis!$B$26*I2</f>
        <v>11.647499999999999</v>
      </c>
      <c r="L2" s="81">
        <f>Breakeven_Analysis!$B$27*I2</f>
        <v>13.2005</v>
      </c>
    </row>
    <row r="3" spans="1:12" ht="15" customHeight="1" x14ac:dyDescent="0.2">
      <c r="A3">
        <v>5</v>
      </c>
      <c r="B3">
        <f>Breakeven_Analysis!$B$25*(Breakeven_Analysis!$B$21+Breakeven_Analysis!$B$22*A3)</f>
        <v>7.3644999999999987</v>
      </c>
      <c r="C3">
        <f>Breakeven_Analysis!$B$26*(Breakeven_Analysis!$B$21+Breakeven_Analysis!$B$22*A3)</f>
        <v>8.4974999999999987</v>
      </c>
      <c r="D3">
        <f>Breakeven_Analysis!$B$27*(Breakeven_Analysis!$B$21+Breakeven_Analysis!$B$22*A3)</f>
        <v>9.6304999999999978</v>
      </c>
      <c r="E3" s="79">
        <f>Breakeven_Analysis!$B$7</f>
        <v>55</v>
      </c>
      <c r="F3" s="80">
        <f>Breakeven_Analysis!$G$36</f>
        <v>52.842960169181367</v>
      </c>
      <c r="G3" s="81">
        <f>Regressions!$C$31+Regressions!$D$31*A3</f>
        <v>21.725000000000001</v>
      </c>
      <c r="H3" s="81">
        <f>Breakeven_Analysis!$B$21+Breakeven_Analysis!$B$22*A3</f>
        <v>11.329999999999998</v>
      </c>
      <c r="I3" s="81">
        <f t="shared" si="0"/>
        <v>21.725000000000001</v>
      </c>
      <c r="J3" s="81">
        <f>Breakeven_Analysis!$B$25*I3</f>
        <v>14.121250000000002</v>
      </c>
      <c r="K3" s="81">
        <f>Breakeven_Analysis!$B$26*I3</f>
        <v>16.293750000000003</v>
      </c>
      <c r="L3" s="81">
        <f>Breakeven_Analysis!$B$27*I3</f>
        <v>18.466250000000002</v>
      </c>
    </row>
    <row r="4" spans="1:12" ht="15" customHeight="1" x14ac:dyDescent="0.2">
      <c r="A4">
        <v>10</v>
      </c>
      <c r="B4">
        <f>Breakeven_Analysis!$B$25*(Breakeven_Analysis!$B$21+Breakeven_Analysis!$B$22*A4)</f>
        <v>13.676</v>
      </c>
      <c r="C4">
        <f>Breakeven_Analysis!$B$26*(Breakeven_Analysis!$B$21+Breakeven_Analysis!$B$22*A4)</f>
        <v>15.78</v>
      </c>
      <c r="D4">
        <f>Breakeven_Analysis!$B$27*(Breakeven_Analysis!$B$21+Breakeven_Analysis!$B$22*A4)</f>
        <v>17.884</v>
      </c>
      <c r="E4" s="79">
        <f>Breakeven_Analysis!$B$7</f>
        <v>55</v>
      </c>
      <c r="F4" s="80">
        <f>Breakeven_Analysis!$G$36</f>
        <v>52.842960169181367</v>
      </c>
      <c r="G4" s="81">
        <f>Regressions!$C$31+Regressions!$D$31*A4</f>
        <v>27.92</v>
      </c>
      <c r="H4" s="81">
        <f>Breakeven_Analysis!$B$21+Breakeven_Analysis!$B$22*A4</f>
        <v>21.04</v>
      </c>
      <c r="I4" s="81">
        <f t="shared" si="0"/>
        <v>27.92</v>
      </c>
      <c r="J4" s="81">
        <f>Breakeven_Analysis!$B$25*I4</f>
        <v>18.148000000000003</v>
      </c>
      <c r="K4" s="81">
        <f>Breakeven_Analysis!$B$26*I4</f>
        <v>20.94</v>
      </c>
      <c r="L4" s="81">
        <f>Breakeven_Analysis!$B$27*I4</f>
        <v>23.731999999999999</v>
      </c>
    </row>
    <row r="5" spans="1:12" ht="15" customHeight="1" x14ac:dyDescent="0.2">
      <c r="A5">
        <v>15</v>
      </c>
      <c r="B5">
        <f>Breakeven_Analysis!$B$25*(Breakeven_Analysis!$B$21+Breakeven_Analysis!$B$22*A5)</f>
        <v>19.987500000000001</v>
      </c>
      <c r="C5">
        <f>Breakeven_Analysis!$B$26*(Breakeven_Analysis!$B$21+Breakeven_Analysis!$B$22*A5)</f>
        <v>23.0625</v>
      </c>
      <c r="D5">
        <f>Breakeven_Analysis!$B$27*(Breakeven_Analysis!$B$21+Breakeven_Analysis!$B$22*A5)</f>
        <v>26.137499999999999</v>
      </c>
      <c r="E5" s="79">
        <f>Breakeven_Analysis!$B$7</f>
        <v>55</v>
      </c>
      <c r="F5" s="80">
        <f>Breakeven_Analysis!$G$36</f>
        <v>52.842960169181367</v>
      </c>
      <c r="G5" s="81">
        <f>Regressions!$C$31+Regressions!$D$31*A5</f>
        <v>34.115000000000002</v>
      </c>
      <c r="H5" s="81">
        <f>Breakeven_Analysis!$B$21+Breakeven_Analysis!$B$22*A5</f>
        <v>30.75</v>
      </c>
      <c r="I5" s="81">
        <f t="shared" si="0"/>
        <v>34.115000000000002</v>
      </c>
      <c r="J5" s="81">
        <f>Breakeven_Analysis!$B$25*I5</f>
        <v>22.174750000000003</v>
      </c>
      <c r="K5" s="81">
        <f>Breakeven_Analysis!$B$26*I5</f>
        <v>25.58625</v>
      </c>
      <c r="L5" s="81">
        <f>Breakeven_Analysis!$B$27*I5</f>
        <v>28.99775</v>
      </c>
    </row>
    <row r="6" spans="1:12" ht="15" customHeight="1" x14ac:dyDescent="0.2">
      <c r="A6">
        <v>20</v>
      </c>
      <c r="B6">
        <f>Breakeven_Analysis!$B$25*(Breakeven_Analysis!$B$21+Breakeven_Analysis!$B$22*A6)</f>
        <v>26.298999999999996</v>
      </c>
      <c r="C6">
        <f>Breakeven_Analysis!$B$26*(Breakeven_Analysis!$B$21+Breakeven_Analysis!$B$22*A6)</f>
        <v>30.344999999999995</v>
      </c>
      <c r="D6">
        <f>Breakeven_Analysis!$B$27*(Breakeven_Analysis!$B$21+Breakeven_Analysis!$B$22*A6)</f>
        <v>34.390999999999991</v>
      </c>
      <c r="E6" s="79">
        <f>Breakeven_Analysis!$B$7</f>
        <v>55</v>
      </c>
      <c r="F6" s="80">
        <f>Breakeven_Analysis!$G$36</f>
        <v>52.842960169181367</v>
      </c>
      <c r="G6" s="81">
        <f>Regressions!$C$31+Regressions!$D$31*A6</f>
        <v>40.31</v>
      </c>
      <c r="H6" s="81">
        <f>Breakeven_Analysis!$B$21+Breakeven_Analysis!$B$22*A6</f>
        <v>40.459999999999994</v>
      </c>
      <c r="I6" s="81">
        <f t="shared" si="0"/>
        <v>40.459999999999994</v>
      </c>
      <c r="J6" s="81">
        <f>Breakeven_Analysis!$B$25*I6</f>
        <v>26.298999999999996</v>
      </c>
      <c r="K6" s="81">
        <f>Breakeven_Analysis!$B$26*I6</f>
        <v>30.344999999999995</v>
      </c>
      <c r="L6" s="81">
        <f>Breakeven_Analysis!$B$27*I6</f>
        <v>34.390999999999991</v>
      </c>
    </row>
    <row r="7" spans="1:12" ht="15" customHeight="1" x14ac:dyDescent="0.2">
      <c r="A7">
        <v>25</v>
      </c>
      <c r="B7">
        <f>Breakeven_Analysis!$B$25*(Breakeven_Analysis!$B$21+Breakeven_Analysis!$B$22*A7)</f>
        <v>32.610499999999995</v>
      </c>
      <c r="C7">
        <f>Breakeven_Analysis!$B$26*(Breakeven_Analysis!$B$21+Breakeven_Analysis!$B$22*A7)</f>
        <v>37.627499999999998</v>
      </c>
      <c r="D7">
        <f>Breakeven_Analysis!$B$27*(Breakeven_Analysis!$B$21+Breakeven_Analysis!$B$22*A7)</f>
        <v>42.644499999999994</v>
      </c>
      <c r="E7" s="79">
        <f>Breakeven_Analysis!$B$7</f>
        <v>55</v>
      </c>
      <c r="F7" s="80">
        <f>Breakeven_Analysis!$G$36</f>
        <v>52.842960169181367</v>
      </c>
      <c r="G7" s="81">
        <f>Regressions!$C$31+Regressions!$D$31*A7</f>
        <v>46.505000000000003</v>
      </c>
      <c r="H7" s="81">
        <f>Breakeven_Analysis!$B$21+Breakeven_Analysis!$B$22*A7</f>
        <v>50.169999999999995</v>
      </c>
      <c r="I7" s="81">
        <f t="shared" si="0"/>
        <v>50.169999999999995</v>
      </c>
      <c r="J7" s="81">
        <f>Breakeven_Analysis!$B$25*I7</f>
        <v>32.610499999999995</v>
      </c>
      <c r="K7" s="81">
        <f>Breakeven_Analysis!$B$26*I7</f>
        <v>37.627499999999998</v>
      </c>
      <c r="L7" s="81">
        <f>Breakeven_Analysis!$B$27*I7</f>
        <v>42.644499999999994</v>
      </c>
    </row>
    <row r="8" spans="1:12" ht="15" customHeight="1" x14ac:dyDescent="0.2">
      <c r="A8">
        <v>30</v>
      </c>
      <c r="B8">
        <f>Breakeven_Analysis!$B$25*(Breakeven_Analysis!$B$21+Breakeven_Analysis!$B$22*A8)</f>
        <v>38.921999999999997</v>
      </c>
      <c r="C8">
        <f>Breakeven_Analysis!$B$26*(Breakeven_Analysis!$B$21+Breakeven_Analysis!$B$22*A8)</f>
        <v>44.91</v>
      </c>
      <c r="D8">
        <f>Breakeven_Analysis!$B$27*(Breakeven_Analysis!$B$21+Breakeven_Analysis!$B$22*A8)</f>
        <v>50.897999999999996</v>
      </c>
      <c r="E8" s="79">
        <f>Breakeven_Analysis!$B$7</f>
        <v>55</v>
      </c>
      <c r="F8" s="80">
        <f>Breakeven_Analysis!$G$36</f>
        <v>52.842960169181367</v>
      </c>
      <c r="G8" s="81">
        <f>Regressions!$C$31+Regressions!$D$31*A8</f>
        <v>52.7</v>
      </c>
      <c r="H8" s="81">
        <f>Breakeven_Analysis!$B$21+Breakeven_Analysis!$B$22*A8</f>
        <v>59.879999999999995</v>
      </c>
      <c r="I8" s="81">
        <f t="shared" si="0"/>
        <v>59.879999999999995</v>
      </c>
      <c r="J8" s="81">
        <f>Breakeven_Analysis!$B$25*I8</f>
        <v>38.921999999999997</v>
      </c>
      <c r="K8" s="81">
        <f>Breakeven_Analysis!$B$26*I8</f>
        <v>44.91</v>
      </c>
      <c r="L8" s="81">
        <f>Breakeven_Analysis!$B$27*I8</f>
        <v>50.897999999999996</v>
      </c>
    </row>
    <row r="9" spans="1:12" ht="15" customHeight="1" x14ac:dyDescent="0.2">
      <c r="A9">
        <v>35</v>
      </c>
      <c r="B9">
        <f>Breakeven_Analysis!$B$25*(Breakeven_Analysis!$B$21+Breakeven_Analysis!$B$22*A9)</f>
        <v>45.233500000000006</v>
      </c>
      <c r="C9">
        <f>Breakeven_Analysis!$B$26*(Breakeven_Analysis!$B$21+Breakeven_Analysis!$B$22*A9)</f>
        <v>52.192500000000003</v>
      </c>
      <c r="D9">
        <f>Breakeven_Analysis!$B$27*(Breakeven_Analysis!$B$21+Breakeven_Analysis!$B$22*A9)</f>
        <v>59.151499999999999</v>
      </c>
      <c r="E9" s="79">
        <f>Breakeven_Analysis!$B$7</f>
        <v>55</v>
      </c>
      <c r="F9" s="80">
        <f>Breakeven_Analysis!$G$36</f>
        <v>52.842960169181367</v>
      </c>
      <c r="G9" s="81">
        <f>Regressions!$C$31+Regressions!$D$31*A9</f>
        <v>58.895000000000003</v>
      </c>
      <c r="H9" s="81">
        <f>Breakeven_Analysis!$B$21+Breakeven_Analysis!$B$22*A9</f>
        <v>69.59</v>
      </c>
      <c r="I9" s="81">
        <f t="shared" si="0"/>
        <v>69.59</v>
      </c>
      <c r="J9" s="81">
        <f>Breakeven_Analysis!$B$25*I9</f>
        <v>45.233500000000006</v>
      </c>
      <c r="K9" s="81">
        <f>Breakeven_Analysis!$B$26*I9</f>
        <v>52.192500000000003</v>
      </c>
      <c r="L9" s="81">
        <f>Breakeven_Analysis!$B$27*I9</f>
        <v>59.151499999999999</v>
      </c>
    </row>
    <row r="10" spans="1:12" ht="15" customHeight="1" x14ac:dyDescent="0.2">
      <c r="A10">
        <v>40</v>
      </c>
      <c r="B10">
        <f>Breakeven_Analysis!$B$25*(Breakeven_Analysis!$B$21+Breakeven_Analysis!$B$22*A10)</f>
        <v>51.545000000000002</v>
      </c>
      <c r="C10">
        <f>Breakeven_Analysis!$B$26*(Breakeven_Analysis!$B$21+Breakeven_Analysis!$B$22*A10)</f>
        <v>59.474999999999994</v>
      </c>
      <c r="D10">
        <f>Breakeven_Analysis!$B$27*(Breakeven_Analysis!$B$21+Breakeven_Analysis!$B$22*A10)</f>
        <v>67.405000000000001</v>
      </c>
      <c r="E10" s="79">
        <f>Breakeven_Analysis!$B$7</f>
        <v>55</v>
      </c>
      <c r="F10" s="80">
        <f>Breakeven_Analysis!$G$36</f>
        <v>52.842960169181367</v>
      </c>
      <c r="G10" s="81">
        <f>Regressions!$C$31+Regressions!$D$31*A10</f>
        <v>65.09</v>
      </c>
      <c r="H10" s="81">
        <f>Breakeven_Analysis!$B$21+Breakeven_Analysis!$B$22*A10</f>
        <v>79.3</v>
      </c>
      <c r="I10" s="81">
        <f t="shared" si="0"/>
        <v>79.3</v>
      </c>
      <c r="J10" s="81">
        <f>Breakeven_Analysis!$B$25*I10</f>
        <v>51.545000000000002</v>
      </c>
      <c r="K10" s="81">
        <f>Breakeven_Analysis!$B$26*I10</f>
        <v>59.474999999999994</v>
      </c>
      <c r="L10" s="81">
        <f>Breakeven_Analysis!$B$27*I10</f>
        <v>67.405000000000001</v>
      </c>
    </row>
    <row r="11" spans="1:12" ht="15" customHeight="1" x14ac:dyDescent="0.2">
      <c r="A11">
        <v>45</v>
      </c>
      <c r="B11">
        <f>Breakeven_Analysis!$B$25*(Breakeven_Analysis!$B$21+Breakeven_Analysis!$B$22*A11)</f>
        <v>57.856500000000004</v>
      </c>
      <c r="C11">
        <f>Breakeven_Analysis!$B$26*(Breakeven_Analysis!$B$21+Breakeven_Analysis!$B$22*A11)</f>
        <v>66.757500000000007</v>
      </c>
      <c r="D11">
        <f>Breakeven_Analysis!$B$27*(Breakeven_Analysis!$B$21+Breakeven_Analysis!$B$22*A11)</f>
        <v>75.658500000000004</v>
      </c>
      <c r="E11" s="79">
        <f>Breakeven_Analysis!$B$7</f>
        <v>55</v>
      </c>
      <c r="F11" s="80">
        <f>Breakeven_Analysis!$G$36</f>
        <v>52.842960169181367</v>
      </c>
      <c r="G11" s="81">
        <f>Regressions!$C$31+Regressions!$D$31*A11</f>
        <v>71.284999999999997</v>
      </c>
      <c r="H11" s="81">
        <f>Breakeven_Analysis!$B$21+Breakeven_Analysis!$B$22*A11</f>
        <v>89.01</v>
      </c>
      <c r="I11" s="81">
        <f t="shared" si="0"/>
        <v>89.01</v>
      </c>
      <c r="J11" s="81">
        <f>Breakeven_Analysis!$B$25*I11</f>
        <v>57.856500000000004</v>
      </c>
      <c r="K11" s="81">
        <f>Breakeven_Analysis!$B$26*I11</f>
        <v>66.757500000000007</v>
      </c>
      <c r="L11" s="81">
        <f>Breakeven_Analysis!$B$27*I11</f>
        <v>75.658500000000004</v>
      </c>
    </row>
    <row r="12" spans="1:12" ht="15" customHeight="1" x14ac:dyDescent="0.2">
      <c r="A12">
        <v>50</v>
      </c>
      <c r="B12">
        <f>Breakeven_Analysis!$B$25*(Breakeven_Analysis!$B$21+Breakeven_Analysis!$B$22*A12)</f>
        <v>64.168000000000006</v>
      </c>
      <c r="C12">
        <f>Breakeven_Analysis!$B$26*(Breakeven_Analysis!$B$21+Breakeven_Analysis!$B$22*A12)</f>
        <v>74.039999999999992</v>
      </c>
      <c r="D12">
        <f>Breakeven_Analysis!$B$27*(Breakeven_Analysis!$B$21+Breakeven_Analysis!$B$22*A12)</f>
        <v>83.911999999999992</v>
      </c>
      <c r="E12" s="79">
        <f>Breakeven_Analysis!$B$7</f>
        <v>55</v>
      </c>
      <c r="F12" s="80">
        <f>Breakeven_Analysis!$G$36</f>
        <v>52.842960169181367</v>
      </c>
      <c r="G12" s="81">
        <f>Regressions!$C$31+Regressions!$D$31*A12</f>
        <v>77.48</v>
      </c>
      <c r="H12" s="81">
        <f>Breakeven_Analysis!$B$21+Breakeven_Analysis!$B$22*A12</f>
        <v>98.72</v>
      </c>
      <c r="I12" s="81">
        <f t="shared" si="0"/>
        <v>98.72</v>
      </c>
      <c r="J12" s="81">
        <f>Breakeven_Analysis!$B$25*I12</f>
        <v>64.168000000000006</v>
      </c>
      <c r="K12" s="81">
        <f>Breakeven_Analysis!$B$26*I12</f>
        <v>74.039999999999992</v>
      </c>
      <c r="L12" s="81">
        <f>Breakeven_Analysis!$B$27*I12</f>
        <v>83.911999999999992</v>
      </c>
    </row>
    <row r="13" spans="1:12" ht="15" customHeight="1" x14ac:dyDescent="0.2">
      <c r="A13">
        <v>55</v>
      </c>
      <c r="B13">
        <f>Breakeven_Analysis!$B$25*(Breakeven_Analysis!$B$21+Breakeven_Analysis!$B$22*A13)</f>
        <v>70.479500000000002</v>
      </c>
      <c r="C13">
        <f>Breakeven_Analysis!$B$26*(Breakeven_Analysis!$B$21+Breakeven_Analysis!$B$22*A13)</f>
        <v>81.322500000000005</v>
      </c>
      <c r="D13">
        <f>Breakeven_Analysis!$B$27*(Breakeven_Analysis!$B$21+Breakeven_Analysis!$B$22*A13)</f>
        <v>92.165500000000009</v>
      </c>
      <c r="E13" s="79">
        <f>Breakeven_Analysis!$B$7</f>
        <v>55</v>
      </c>
      <c r="F13" s="80">
        <f>Breakeven_Analysis!$G$36</f>
        <v>52.842960169181367</v>
      </c>
      <c r="G13" s="81">
        <f>Regressions!$C$31+Regressions!$D$31*A13</f>
        <v>83.675000000000011</v>
      </c>
      <c r="H13" s="81">
        <f>Breakeven_Analysis!$B$21+Breakeven_Analysis!$B$22*A13</f>
        <v>108.43</v>
      </c>
      <c r="I13" s="81">
        <f t="shared" si="0"/>
        <v>108.43</v>
      </c>
      <c r="J13" s="81">
        <f>Breakeven_Analysis!$B$25*I13</f>
        <v>70.479500000000002</v>
      </c>
      <c r="K13" s="81">
        <f>Breakeven_Analysis!$B$26*I13</f>
        <v>81.322500000000005</v>
      </c>
      <c r="L13" s="81">
        <f>Breakeven_Analysis!$B$27*I13</f>
        <v>92.165500000000009</v>
      </c>
    </row>
    <row r="14" spans="1:12" ht="15" customHeight="1" x14ac:dyDescent="0.2">
      <c r="A14">
        <v>60</v>
      </c>
      <c r="B14">
        <f>Breakeven_Analysis!$B$25*(Breakeven_Analysis!$B$21+Breakeven_Analysis!$B$22*A14)</f>
        <v>76.790999999999997</v>
      </c>
      <c r="C14">
        <f>Breakeven_Analysis!$B$26*(Breakeven_Analysis!$B$21+Breakeven_Analysis!$B$22*A14)</f>
        <v>88.605000000000004</v>
      </c>
      <c r="D14">
        <f>Breakeven_Analysis!$B$27*(Breakeven_Analysis!$B$21+Breakeven_Analysis!$B$22*A14)</f>
        <v>100.419</v>
      </c>
      <c r="E14" s="79">
        <f>Breakeven_Analysis!$B$7</f>
        <v>55</v>
      </c>
      <c r="F14" s="80">
        <f>Breakeven_Analysis!$G$36</f>
        <v>52.842960169181367</v>
      </c>
      <c r="G14" s="81">
        <f>Regressions!$C$31+Regressions!$D$31*A14</f>
        <v>89.87</v>
      </c>
      <c r="H14" s="81">
        <f>Breakeven_Analysis!$B$21+Breakeven_Analysis!$B$22*A14</f>
        <v>118.14</v>
      </c>
      <c r="I14" s="81">
        <f t="shared" si="0"/>
        <v>118.14</v>
      </c>
      <c r="J14" s="81">
        <f>Breakeven_Analysis!$B$25*I14</f>
        <v>76.790999999999997</v>
      </c>
      <c r="K14" s="81">
        <f>Breakeven_Analysis!$B$26*I14</f>
        <v>88.605000000000004</v>
      </c>
      <c r="L14" s="81">
        <f>Breakeven_Analysis!$B$27*I14</f>
        <v>100.419</v>
      </c>
    </row>
    <row r="15" spans="1:12" ht="15" customHeight="1" x14ac:dyDescent="0.2">
      <c r="A15">
        <v>65</v>
      </c>
      <c r="B15">
        <f>Breakeven_Analysis!$B$25*(Breakeven_Analysis!$B$21+Breakeven_Analysis!$B$22*A15)</f>
        <v>83.102499999999992</v>
      </c>
      <c r="C15">
        <f>Breakeven_Analysis!$B$26*(Breakeven_Analysis!$B$21+Breakeven_Analysis!$B$22*A15)</f>
        <v>95.887499999999989</v>
      </c>
      <c r="D15">
        <f>Breakeven_Analysis!$B$27*(Breakeven_Analysis!$B$21+Breakeven_Analysis!$B$22*A15)</f>
        <v>108.6725</v>
      </c>
      <c r="E15" s="79">
        <f>Breakeven_Analysis!$B$7</f>
        <v>55</v>
      </c>
      <c r="F15" s="80">
        <f>Breakeven_Analysis!$G$36</f>
        <v>52.842960169181367</v>
      </c>
      <c r="G15" s="81">
        <f>Regressions!$C$31+Regressions!$D$31*A15</f>
        <v>96.065000000000012</v>
      </c>
      <c r="H15" s="81">
        <f>Breakeven_Analysis!$B$21+Breakeven_Analysis!$B$22*A15</f>
        <v>127.85</v>
      </c>
      <c r="I15" s="81">
        <f t="shared" si="0"/>
        <v>127.85</v>
      </c>
      <c r="J15" s="81">
        <f>Breakeven_Analysis!$B$25*I15</f>
        <v>83.102499999999992</v>
      </c>
      <c r="K15" s="81">
        <f>Breakeven_Analysis!$B$26*I15</f>
        <v>95.887499999999989</v>
      </c>
      <c r="L15" s="81">
        <f>Breakeven_Analysis!$B$27*I15</f>
        <v>108.6725</v>
      </c>
    </row>
    <row r="16" spans="1:12" ht="15" customHeight="1" x14ac:dyDescent="0.2">
      <c r="A16">
        <v>70</v>
      </c>
      <c r="B16">
        <f>Breakeven_Analysis!$B$25*(Breakeven_Analysis!$B$21+Breakeven_Analysis!$B$22*A16)</f>
        <v>89.414000000000001</v>
      </c>
      <c r="C16">
        <f>Breakeven_Analysis!$B$26*(Breakeven_Analysis!$B$21+Breakeven_Analysis!$B$22*A16)</f>
        <v>103.17</v>
      </c>
      <c r="D16">
        <f>Breakeven_Analysis!$B$27*(Breakeven_Analysis!$B$21+Breakeven_Analysis!$B$22*A16)</f>
        <v>116.926</v>
      </c>
      <c r="E16" s="79">
        <f>Breakeven_Analysis!$B$7</f>
        <v>55</v>
      </c>
      <c r="F16" s="80">
        <f>Breakeven_Analysis!$G$36</f>
        <v>52.842960169181367</v>
      </c>
      <c r="G16" s="81">
        <f>Regressions!$C$31+Regressions!$D$31*A16</f>
        <v>102.26</v>
      </c>
      <c r="H16" s="81">
        <f>Breakeven_Analysis!$B$21+Breakeven_Analysis!$B$22*A16</f>
        <v>137.56</v>
      </c>
      <c r="I16" s="81">
        <f t="shared" si="0"/>
        <v>137.56</v>
      </c>
      <c r="J16" s="81">
        <f>Breakeven_Analysis!$B$25*I16</f>
        <v>89.414000000000001</v>
      </c>
      <c r="K16" s="81">
        <f>Breakeven_Analysis!$B$26*I16</f>
        <v>103.17</v>
      </c>
      <c r="L16" s="81">
        <f>Breakeven_Analysis!$B$27*I16</f>
        <v>116.926</v>
      </c>
    </row>
    <row r="17" spans="1:12" ht="15" customHeight="1" x14ac:dyDescent="0.2">
      <c r="A17">
        <v>75</v>
      </c>
      <c r="B17">
        <f>Breakeven_Analysis!$B$25*(Breakeven_Analysis!$B$21+Breakeven_Analysis!$B$22*A17)</f>
        <v>95.725500000000011</v>
      </c>
      <c r="C17">
        <f>Breakeven_Analysis!$B$26*(Breakeven_Analysis!$B$21+Breakeven_Analysis!$B$22*A17)</f>
        <v>110.45250000000001</v>
      </c>
      <c r="D17">
        <f>Breakeven_Analysis!$B$27*(Breakeven_Analysis!$B$21+Breakeven_Analysis!$B$22*A17)</f>
        <v>125.1795</v>
      </c>
      <c r="E17" s="79">
        <f>Breakeven_Analysis!$B$7</f>
        <v>55</v>
      </c>
      <c r="F17" s="80">
        <f>Breakeven_Analysis!$G$36</f>
        <v>52.842960169181367</v>
      </c>
      <c r="G17" s="81">
        <f>Regressions!$C$31+Regressions!$D$31*A17</f>
        <v>108.45500000000001</v>
      </c>
      <c r="H17" s="81">
        <f>Breakeven_Analysis!$B$21+Breakeven_Analysis!$B$22*A17</f>
        <v>147.27000000000001</v>
      </c>
      <c r="I17" s="81">
        <f t="shared" si="0"/>
        <v>147.27000000000001</v>
      </c>
      <c r="J17" s="81">
        <f>Breakeven_Analysis!$B$25*I17</f>
        <v>95.725500000000011</v>
      </c>
      <c r="K17" s="81">
        <f>Breakeven_Analysis!$B$26*I17</f>
        <v>110.45250000000001</v>
      </c>
      <c r="L17" s="81">
        <f>Breakeven_Analysis!$B$27*I17</f>
        <v>125.1795</v>
      </c>
    </row>
    <row r="18" spans="1:12" ht="15" customHeight="1" x14ac:dyDescent="0.2">
      <c r="A18">
        <v>80</v>
      </c>
      <c r="B18">
        <f>Breakeven_Analysis!$B$25*(Breakeven_Analysis!$B$21+Breakeven_Analysis!$B$22*A18)</f>
        <v>102.03699999999999</v>
      </c>
      <c r="C18">
        <f>Breakeven_Analysis!$B$26*(Breakeven_Analysis!$B$21+Breakeven_Analysis!$B$22*A18)</f>
        <v>117.73499999999999</v>
      </c>
      <c r="D18">
        <f>Breakeven_Analysis!$B$27*(Breakeven_Analysis!$B$21+Breakeven_Analysis!$B$22*A18)</f>
        <v>133.43299999999999</v>
      </c>
      <c r="E18" s="79">
        <f>Breakeven_Analysis!$B$7</f>
        <v>55</v>
      </c>
      <c r="F18" s="80">
        <f>Breakeven_Analysis!$G$36</f>
        <v>52.842960169181367</v>
      </c>
      <c r="G18" s="81">
        <f>Regressions!$C$31+Regressions!$D$31*A18</f>
        <v>114.65</v>
      </c>
      <c r="H18" s="81">
        <f>Breakeven_Analysis!$B$21+Breakeven_Analysis!$B$22*A18</f>
        <v>156.97999999999999</v>
      </c>
      <c r="I18" s="81">
        <f t="shared" si="0"/>
        <v>156.97999999999999</v>
      </c>
      <c r="J18" s="81">
        <f>Breakeven_Analysis!$B$25*I18</f>
        <v>102.03699999999999</v>
      </c>
      <c r="K18" s="81">
        <f>Breakeven_Analysis!$B$26*I18</f>
        <v>117.73499999999999</v>
      </c>
      <c r="L18" s="81">
        <f>Breakeven_Analysis!$B$27*I18</f>
        <v>133.43299999999999</v>
      </c>
    </row>
    <row r="19" spans="1:12" ht="15" customHeight="1" x14ac:dyDescent="0.2">
      <c r="A19">
        <v>85</v>
      </c>
      <c r="B19">
        <f>Breakeven_Analysis!$B$25*(Breakeven_Analysis!$B$21+Breakeven_Analysis!$B$22*A19)</f>
        <v>108.3485</v>
      </c>
      <c r="C19">
        <f>Breakeven_Analysis!$B$26*(Breakeven_Analysis!$B$21+Breakeven_Analysis!$B$22*A19)</f>
        <v>125.0175</v>
      </c>
      <c r="D19">
        <f>Breakeven_Analysis!$B$27*(Breakeven_Analysis!$B$21+Breakeven_Analysis!$B$22*A19)</f>
        <v>141.6865</v>
      </c>
      <c r="E19" s="79">
        <f>Breakeven_Analysis!$B$7</f>
        <v>55</v>
      </c>
      <c r="F19" s="80">
        <f>Breakeven_Analysis!$G$36</f>
        <v>52.842960169181367</v>
      </c>
      <c r="G19" s="81">
        <f>Regressions!$C$31+Regressions!$D$31*A19</f>
        <v>120.84500000000001</v>
      </c>
      <c r="H19" s="81">
        <f>Breakeven_Analysis!$B$21+Breakeven_Analysis!$B$22*A19</f>
        <v>166.69</v>
      </c>
      <c r="I19" s="81">
        <f t="shared" si="0"/>
        <v>166.69</v>
      </c>
      <c r="J19" s="81">
        <f>Breakeven_Analysis!$B$25*I19</f>
        <v>108.3485</v>
      </c>
      <c r="K19" s="81">
        <f>Breakeven_Analysis!$B$26*I19</f>
        <v>125.0175</v>
      </c>
      <c r="L19" s="81">
        <f>Breakeven_Analysis!$B$27*I19</f>
        <v>141.6865</v>
      </c>
    </row>
    <row r="20" spans="1:12" ht="15" customHeight="1" x14ac:dyDescent="0.2">
      <c r="A20">
        <v>90</v>
      </c>
      <c r="B20">
        <f>Breakeven_Analysis!$B$25*(Breakeven_Analysis!$B$21+Breakeven_Analysis!$B$22*A20)</f>
        <v>114.66000000000001</v>
      </c>
      <c r="C20">
        <f>Breakeven_Analysis!$B$26*(Breakeven_Analysis!$B$21+Breakeven_Analysis!$B$22*A20)</f>
        <v>132.30000000000001</v>
      </c>
      <c r="D20">
        <f>Breakeven_Analysis!$B$27*(Breakeven_Analysis!$B$21+Breakeven_Analysis!$B$22*A20)</f>
        <v>149.94</v>
      </c>
      <c r="E20" s="79">
        <f>Breakeven_Analysis!$B$7</f>
        <v>55</v>
      </c>
      <c r="F20" s="80">
        <f>Breakeven_Analysis!$G$36</f>
        <v>52.842960169181367</v>
      </c>
      <c r="G20" s="81">
        <f>Regressions!$C$31+Regressions!$D$31*A20</f>
        <v>127.04</v>
      </c>
      <c r="H20" s="81">
        <f>Breakeven_Analysis!$B$21+Breakeven_Analysis!$B$22*A20</f>
        <v>176.4</v>
      </c>
      <c r="I20" s="81">
        <f t="shared" si="0"/>
        <v>176.4</v>
      </c>
      <c r="J20" s="81">
        <f>Breakeven_Analysis!$B$25*I20</f>
        <v>114.66000000000001</v>
      </c>
      <c r="K20" s="81">
        <f>Breakeven_Analysis!$B$26*I20</f>
        <v>132.30000000000001</v>
      </c>
      <c r="L20" s="81">
        <f>Breakeven_Analysis!$B$27*I20</f>
        <v>149.94</v>
      </c>
    </row>
    <row r="21" spans="1:12" ht="15" customHeight="1" x14ac:dyDescent="0.2">
      <c r="A21">
        <v>95</v>
      </c>
      <c r="B21">
        <f>Breakeven_Analysis!$B$25*(Breakeven_Analysis!$B$21+Breakeven_Analysis!$B$22*A21)</f>
        <v>120.97150000000001</v>
      </c>
      <c r="C21">
        <f>Breakeven_Analysis!$B$26*(Breakeven_Analysis!$B$21+Breakeven_Analysis!$B$22*A21)</f>
        <v>139.58250000000001</v>
      </c>
      <c r="D21">
        <f>Breakeven_Analysis!$B$27*(Breakeven_Analysis!$B$21+Breakeven_Analysis!$B$22*A21)</f>
        <v>158.1935</v>
      </c>
      <c r="E21" s="79">
        <f>Breakeven_Analysis!$B$7</f>
        <v>55</v>
      </c>
      <c r="F21" s="80">
        <f>Breakeven_Analysis!$G$36</f>
        <v>52.842960169181367</v>
      </c>
      <c r="G21" s="81">
        <f>Regressions!$C$31+Regressions!$D$31*A21</f>
        <v>133.23500000000001</v>
      </c>
      <c r="H21" s="81">
        <f>Breakeven_Analysis!$B$21+Breakeven_Analysis!$B$22*A21</f>
        <v>186.11</v>
      </c>
      <c r="I21" s="81">
        <f t="shared" si="0"/>
        <v>186.11</v>
      </c>
      <c r="J21" s="81">
        <f>Breakeven_Analysis!$B$25*I21</f>
        <v>120.97150000000001</v>
      </c>
      <c r="K21" s="81">
        <f>Breakeven_Analysis!$B$26*I21</f>
        <v>139.58250000000001</v>
      </c>
      <c r="L21" s="81">
        <f>Breakeven_Analysis!$B$27*I21</f>
        <v>158.1935</v>
      </c>
    </row>
    <row r="22" spans="1:12" ht="15" customHeight="1" x14ac:dyDescent="0.2">
      <c r="A22">
        <v>100</v>
      </c>
      <c r="B22">
        <f>Breakeven_Analysis!$B$25*(Breakeven_Analysis!$B$21+Breakeven_Analysis!$B$22*A22)</f>
        <v>127.283</v>
      </c>
      <c r="C22">
        <f>Breakeven_Analysis!$B$26*(Breakeven_Analysis!$B$21+Breakeven_Analysis!$B$22*A22)</f>
        <v>146.86500000000001</v>
      </c>
      <c r="D22">
        <f>Breakeven_Analysis!$B$27*(Breakeven_Analysis!$B$21+Breakeven_Analysis!$B$22*A22)</f>
        <v>166.447</v>
      </c>
      <c r="E22" s="79">
        <f>Breakeven_Analysis!$B$7</f>
        <v>55</v>
      </c>
      <c r="F22" s="80">
        <f>Breakeven_Analysis!$G$36</f>
        <v>52.842960169181367</v>
      </c>
      <c r="G22" s="81">
        <f>Regressions!$C$31+Regressions!$D$31*A22</f>
        <v>139.43</v>
      </c>
      <c r="H22" s="81">
        <f>Breakeven_Analysis!$B$21+Breakeven_Analysis!$B$22*A22</f>
        <v>195.82</v>
      </c>
      <c r="I22" s="81">
        <f t="shared" si="0"/>
        <v>195.82</v>
      </c>
      <c r="J22" s="81">
        <f>Breakeven_Analysis!$B$25*I22</f>
        <v>127.283</v>
      </c>
      <c r="K22" s="81">
        <f>Breakeven_Analysis!$B$26*I22</f>
        <v>146.86500000000001</v>
      </c>
      <c r="L22" s="81">
        <f>Breakeven_Analysis!$B$27*I22</f>
        <v>166.447</v>
      </c>
    </row>
    <row r="23" spans="1:12" ht="15" customHeight="1" x14ac:dyDescent="0.2">
      <c r="A23">
        <v>105</v>
      </c>
      <c r="B23">
        <f>Breakeven_Analysis!$B$25*(Breakeven_Analysis!$B$21+Breakeven_Analysis!$B$22*A23)</f>
        <v>133.59450000000001</v>
      </c>
      <c r="C23">
        <f>Breakeven_Analysis!$B$26*(Breakeven_Analysis!$B$21+Breakeven_Analysis!$B$22*A23)</f>
        <v>154.14750000000001</v>
      </c>
      <c r="D23">
        <f>Breakeven_Analysis!$B$27*(Breakeven_Analysis!$B$21+Breakeven_Analysis!$B$22*A23)</f>
        <v>174.70050000000001</v>
      </c>
      <c r="E23" s="79">
        <f>Breakeven_Analysis!$B$7</f>
        <v>55</v>
      </c>
      <c r="F23" s="80">
        <f>Breakeven_Analysis!$G$36</f>
        <v>52.842960169181367</v>
      </c>
      <c r="G23" s="81">
        <f>Regressions!$C$31+Regressions!$D$31*A23</f>
        <v>145.625</v>
      </c>
      <c r="H23" s="81">
        <f>Breakeven_Analysis!$B$21+Breakeven_Analysis!$B$22*A23</f>
        <v>205.53</v>
      </c>
      <c r="I23" s="81">
        <f t="shared" si="0"/>
        <v>205.53</v>
      </c>
      <c r="J23" s="81">
        <f>Breakeven_Analysis!$B$25*I23</f>
        <v>133.59450000000001</v>
      </c>
      <c r="K23" s="81">
        <f>Breakeven_Analysis!$B$26*I23</f>
        <v>154.14750000000001</v>
      </c>
      <c r="L23" s="81">
        <f>Breakeven_Analysis!$B$27*I23</f>
        <v>174.70050000000001</v>
      </c>
    </row>
    <row r="24" spans="1:12" ht="15" customHeight="1" x14ac:dyDescent="0.2">
      <c r="A24">
        <v>110</v>
      </c>
      <c r="B24">
        <f>Breakeven_Analysis!$B$25*(Breakeven_Analysis!$B$21+Breakeven_Analysis!$B$22*A24)</f>
        <v>139.90600000000001</v>
      </c>
      <c r="C24">
        <f>Breakeven_Analysis!$B$26*(Breakeven_Analysis!$B$21+Breakeven_Analysis!$B$22*A24)</f>
        <v>161.43</v>
      </c>
      <c r="D24">
        <f>Breakeven_Analysis!$B$27*(Breakeven_Analysis!$B$21+Breakeven_Analysis!$B$22*A24)</f>
        <v>182.95400000000001</v>
      </c>
      <c r="E24" s="79">
        <f>Breakeven_Analysis!$B$7</f>
        <v>55</v>
      </c>
      <c r="F24" s="80">
        <f>Breakeven_Analysis!$G$36</f>
        <v>52.842960169181367</v>
      </c>
      <c r="G24" s="81">
        <f>Regressions!$C$31+Regressions!$D$31*A24</f>
        <v>151.82000000000002</v>
      </c>
      <c r="H24" s="81">
        <f>Breakeven_Analysis!$B$21+Breakeven_Analysis!$B$22*A24</f>
        <v>215.24</v>
      </c>
      <c r="I24" s="81">
        <f t="shared" si="0"/>
        <v>215.24</v>
      </c>
      <c r="J24" s="81">
        <f>Breakeven_Analysis!$B$25*I24</f>
        <v>139.90600000000001</v>
      </c>
      <c r="K24" s="81">
        <f>Breakeven_Analysis!$B$26*I24</f>
        <v>161.43</v>
      </c>
      <c r="L24" s="81">
        <f>Breakeven_Analysis!$B$27*I24</f>
        <v>182.95400000000001</v>
      </c>
    </row>
    <row r="25" spans="1:12" ht="15" customHeight="1" x14ac:dyDescent="0.2">
      <c r="A25">
        <v>115</v>
      </c>
      <c r="B25">
        <f>Breakeven_Analysis!$B$25*(Breakeven_Analysis!$B$21+Breakeven_Analysis!$B$22*A25)</f>
        <v>146.2175</v>
      </c>
      <c r="C25">
        <f>Breakeven_Analysis!$B$26*(Breakeven_Analysis!$B$21+Breakeven_Analysis!$B$22*A25)</f>
        <v>168.71249999999998</v>
      </c>
      <c r="D25">
        <f>Breakeven_Analysis!$B$27*(Breakeven_Analysis!$B$21+Breakeven_Analysis!$B$22*A25)</f>
        <v>191.20749999999998</v>
      </c>
      <c r="E25" s="79">
        <f>Breakeven_Analysis!$B$7</f>
        <v>55</v>
      </c>
      <c r="F25" s="80">
        <f>Breakeven_Analysis!$G$36</f>
        <v>52.842960169181367</v>
      </c>
      <c r="G25" s="81">
        <f>Regressions!$C$31+Regressions!$D$31*A25</f>
        <v>158.01500000000001</v>
      </c>
      <c r="H25" s="81">
        <f>Breakeven_Analysis!$B$21+Breakeven_Analysis!$B$22*A25</f>
        <v>224.95</v>
      </c>
      <c r="I25" s="81">
        <f t="shared" si="0"/>
        <v>224.95</v>
      </c>
      <c r="J25" s="81">
        <f>Breakeven_Analysis!$B$25*I25</f>
        <v>146.2175</v>
      </c>
      <c r="K25" s="81">
        <f>Breakeven_Analysis!$B$26*I25</f>
        <v>168.71249999999998</v>
      </c>
      <c r="L25" s="81">
        <f>Breakeven_Analysis!$B$27*I25</f>
        <v>191.20749999999998</v>
      </c>
    </row>
    <row r="26" spans="1:12" ht="15" customHeight="1" x14ac:dyDescent="0.2">
      <c r="A26">
        <v>120</v>
      </c>
      <c r="B26">
        <f>Breakeven_Analysis!$B$25*(Breakeven_Analysis!$B$21+Breakeven_Analysis!$B$22*A26)</f>
        <v>152.529</v>
      </c>
      <c r="C26">
        <f>Breakeven_Analysis!$B$26*(Breakeven_Analysis!$B$21+Breakeven_Analysis!$B$22*A26)</f>
        <v>175.995</v>
      </c>
      <c r="D26">
        <f>Breakeven_Analysis!$B$27*(Breakeven_Analysis!$B$21+Breakeven_Analysis!$B$22*A26)</f>
        <v>199.46099999999998</v>
      </c>
      <c r="E26" s="79">
        <f>Breakeven_Analysis!$B$7</f>
        <v>55</v>
      </c>
      <c r="F26" s="80">
        <f>Breakeven_Analysis!$G$36</f>
        <v>52.842960169181367</v>
      </c>
      <c r="G26" s="81">
        <f>Regressions!$C$31+Regressions!$D$31*A26</f>
        <v>164.21</v>
      </c>
      <c r="H26" s="81">
        <f>Breakeven_Analysis!$B$21+Breakeven_Analysis!$B$22*A26</f>
        <v>234.66</v>
      </c>
      <c r="I26" s="81">
        <f t="shared" si="0"/>
        <v>234.66</v>
      </c>
      <c r="J26" s="81">
        <f>Breakeven_Analysis!$B$25*I26</f>
        <v>152.529</v>
      </c>
      <c r="K26" s="81">
        <f>Breakeven_Analysis!$B$26*I26</f>
        <v>175.995</v>
      </c>
      <c r="L26" s="81">
        <f>Breakeven_Analysis!$B$27*I26</f>
        <v>199.46099999999998</v>
      </c>
    </row>
    <row r="27" spans="1:12" ht="15" customHeight="1" x14ac:dyDescent="0.2">
      <c r="A27">
        <v>125</v>
      </c>
      <c r="B27">
        <f>Breakeven_Analysis!$B$25*(Breakeven_Analysis!$B$21+Breakeven_Analysis!$B$22*A27)</f>
        <v>158.84050000000002</v>
      </c>
      <c r="C27">
        <f>Breakeven_Analysis!$B$26*(Breakeven_Analysis!$B$21+Breakeven_Analysis!$B$22*A27)</f>
        <v>183.2775</v>
      </c>
      <c r="D27">
        <f>Breakeven_Analysis!$B$27*(Breakeven_Analysis!$B$21+Breakeven_Analysis!$B$22*A27)</f>
        <v>207.71449999999999</v>
      </c>
      <c r="E27" s="79">
        <f>Breakeven_Analysis!$B$7</f>
        <v>55</v>
      </c>
      <c r="F27" s="80">
        <f>Breakeven_Analysis!$G$36</f>
        <v>52.842960169181367</v>
      </c>
      <c r="G27" s="81">
        <f>Regressions!$C$31+Regressions!$D$31*A27</f>
        <v>170.405</v>
      </c>
      <c r="H27" s="81">
        <f>Breakeven_Analysis!$B$21+Breakeven_Analysis!$B$22*A27</f>
        <v>244.37</v>
      </c>
      <c r="I27" s="81">
        <f t="shared" si="0"/>
        <v>244.37</v>
      </c>
      <c r="J27" s="81">
        <f>Breakeven_Analysis!$B$25*I27</f>
        <v>158.84050000000002</v>
      </c>
      <c r="K27" s="81">
        <f>Breakeven_Analysis!$B$26*I27</f>
        <v>183.2775</v>
      </c>
      <c r="L27" s="81">
        <f>Breakeven_Analysis!$B$27*I27</f>
        <v>207.71449999999999</v>
      </c>
    </row>
    <row r="28" spans="1:12" ht="15" customHeight="1" x14ac:dyDescent="0.2">
      <c r="A28">
        <v>130</v>
      </c>
      <c r="B28">
        <f>Breakeven_Analysis!$B$25*(Breakeven_Analysis!$B$21+Breakeven_Analysis!$B$22*A28)</f>
        <v>165.15199999999999</v>
      </c>
      <c r="C28">
        <f>Breakeven_Analysis!$B$26*(Breakeven_Analysis!$B$21+Breakeven_Analysis!$B$22*A28)</f>
        <v>190.56</v>
      </c>
      <c r="D28">
        <f>Breakeven_Analysis!$B$27*(Breakeven_Analysis!$B$21+Breakeven_Analysis!$B$22*A28)</f>
        <v>215.96799999999999</v>
      </c>
      <c r="E28" s="79">
        <f>Breakeven_Analysis!$B$7</f>
        <v>55</v>
      </c>
      <c r="F28" s="80">
        <f>Breakeven_Analysis!$G$36</f>
        <v>52.842960169181367</v>
      </c>
      <c r="G28" s="81">
        <f>Regressions!$C$31+Regressions!$D$31*A28</f>
        <v>176.60000000000002</v>
      </c>
      <c r="H28" s="81">
        <f>Breakeven_Analysis!$B$21+Breakeven_Analysis!$B$22*A28</f>
        <v>254.07999999999998</v>
      </c>
      <c r="I28" s="81">
        <f t="shared" si="0"/>
        <v>254.07999999999998</v>
      </c>
      <c r="J28" s="81">
        <f>Breakeven_Analysis!$B$25*I28</f>
        <v>165.15199999999999</v>
      </c>
      <c r="K28" s="81">
        <f>Breakeven_Analysis!$B$26*I28</f>
        <v>190.56</v>
      </c>
      <c r="L28" s="81">
        <f>Breakeven_Analysis!$B$27*I28</f>
        <v>215.96799999999999</v>
      </c>
    </row>
    <row r="29" spans="1:12" ht="15" customHeight="1" x14ac:dyDescent="0.2">
      <c r="A29">
        <v>135</v>
      </c>
      <c r="B29">
        <f>Breakeven_Analysis!$B$25*(Breakeven_Analysis!$B$21+Breakeven_Analysis!$B$22*A29)</f>
        <v>171.46350000000001</v>
      </c>
      <c r="C29">
        <f>Breakeven_Analysis!$B$26*(Breakeven_Analysis!$B$21+Breakeven_Analysis!$B$22*A29)</f>
        <v>197.84250000000003</v>
      </c>
      <c r="D29">
        <f>Breakeven_Analysis!$B$27*(Breakeven_Analysis!$B$21+Breakeven_Analysis!$B$22*A29)</f>
        <v>224.22150000000002</v>
      </c>
      <c r="E29" s="79">
        <f>Breakeven_Analysis!$B$7</f>
        <v>55</v>
      </c>
      <c r="F29" s="80">
        <f>Breakeven_Analysis!$G$36</f>
        <v>52.842960169181367</v>
      </c>
      <c r="G29" s="81">
        <f>Regressions!$C$31+Regressions!$D$31*A29</f>
        <v>182.79500000000002</v>
      </c>
      <c r="H29" s="81">
        <f>Breakeven_Analysis!$B$21+Breakeven_Analysis!$B$22*A29</f>
        <v>263.79000000000002</v>
      </c>
      <c r="I29" s="81">
        <f t="shared" si="0"/>
        <v>263.79000000000002</v>
      </c>
      <c r="J29" s="81">
        <f>Breakeven_Analysis!$B$25*I29</f>
        <v>171.46350000000001</v>
      </c>
      <c r="K29" s="81">
        <f>Breakeven_Analysis!$B$26*I29</f>
        <v>197.84250000000003</v>
      </c>
      <c r="L29" s="81">
        <f>Breakeven_Analysis!$B$27*I29</f>
        <v>224.22150000000002</v>
      </c>
    </row>
    <row r="30" spans="1:12" ht="15" customHeight="1" x14ac:dyDescent="0.2">
      <c r="A30">
        <v>140</v>
      </c>
      <c r="B30">
        <f>Breakeven_Analysis!$B$25*(Breakeven_Analysis!$B$21+Breakeven_Analysis!$B$22*A30)</f>
        <v>177.77500000000001</v>
      </c>
      <c r="C30">
        <f>Breakeven_Analysis!$B$26*(Breakeven_Analysis!$B$21+Breakeven_Analysis!$B$22*A30)</f>
        <v>205.125</v>
      </c>
      <c r="D30">
        <f>Breakeven_Analysis!$B$27*(Breakeven_Analysis!$B$21+Breakeven_Analysis!$B$22*A30)</f>
        <v>232.47499999999999</v>
      </c>
      <c r="E30" s="79">
        <f>Breakeven_Analysis!$B$7</f>
        <v>55</v>
      </c>
      <c r="F30" s="80">
        <f>Breakeven_Analysis!$G$36</f>
        <v>52.842960169181367</v>
      </c>
      <c r="G30" s="81">
        <f>Regressions!$C$31+Regressions!$D$31*A30</f>
        <v>188.99</v>
      </c>
      <c r="H30" s="81">
        <f>Breakeven_Analysis!$B$21+Breakeven_Analysis!$B$22*A30</f>
        <v>273.5</v>
      </c>
      <c r="I30" s="81">
        <f t="shared" si="0"/>
        <v>273.5</v>
      </c>
      <c r="J30" s="81">
        <f>Breakeven_Analysis!$B$25*I30</f>
        <v>177.77500000000001</v>
      </c>
      <c r="K30" s="81">
        <f>Breakeven_Analysis!$B$26*I30</f>
        <v>205.125</v>
      </c>
      <c r="L30" s="81">
        <f>Breakeven_Analysis!$B$27*I30</f>
        <v>232.47499999999999</v>
      </c>
    </row>
    <row r="31" spans="1:12" ht="15" customHeight="1" x14ac:dyDescent="0.2">
      <c r="A31">
        <v>145</v>
      </c>
      <c r="B31">
        <f>Breakeven_Analysis!$B$25*(Breakeven_Analysis!$B$21+Breakeven_Analysis!$B$22*A31)</f>
        <v>184.0865</v>
      </c>
      <c r="C31">
        <f>Breakeven_Analysis!$B$26*(Breakeven_Analysis!$B$21+Breakeven_Analysis!$B$22*A31)</f>
        <v>212.40749999999997</v>
      </c>
      <c r="D31">
        <f>Breakeven_Analysis!$B$27*(Breakeven_Analysis!$B$21+Breakeven_Analysis!$B$22*A31)</f>
        <v>240.72849999999997</v>
      </c>
      <c r="E31" s="79">
        <f>Breakeven_Analysis!$B$7</f>
        <v>55</v>
      </c>
      <c r="F31" s="80">
        <f>Breakeven_Analysis!$G$36</f>
        <v>52.842960169181367</v>
      </c>
      <c r="G31" s="81">
        <f>Regressions!$C$31+Regressions!$D$31*A31</f>
        <v>195.185</v>
      </c>
      <c r="H31" s="81">
        <f>Breakeven_Analysis!$B$21+Breakeven_Analysis!$B$22*A31</f>
        <v>283.20999999999998</v>
      </c>
      <c r="I31" s="81">
        <f t="shared" si="0"/>
        <v>283.20999999999998</v>
      </c>
      <c r="J31" s="81">
        <f>Breakeven_Analysis!$B$25*I31</f>
        <v>184.0865</v>
      </c>
      <c r="K31" s="81">
        <f>Breakeven_Analysis!$B$26*I31</f>
        <v>212.40749999999997</v>
      </c>
      <c r="L31" s="81">
        <f>Breakeven_Analysis!$B$27*I31</f>
        <v>240.72849999999997</v>
      </c>
    </row>
    <row r="32" spans="1:12" ht="15" customHeight="1" x14ac:dyDescent="0.2">
      <c r="A32">
        <v>150</v>
      </c>
      <c r="B32">
        <f>Breakeven_Analysis!$B$25*(Breakeven_Analysis!$B$21+Breakeven_Analysis!$B$22*A32)</f>
        <v>190.39800000000002</v>
      </c>
      <c r="C32">
        <f>Breakeven_Analysis!$B$26*(Breakeven_Analysis!$B$21+Breakeven_Analysis!$B$22*A32)</f>
        <v>219.69</v>
      </c>
      <c r="D32">
        <f>Breakeven_Analysis!$B$27*(Breakeven_Analysis!$B$21+Breakeven_Analysis!$B$22*A32)</f>
        <v>248.982</v>
      </c>
      <c r="E32" s="79">
        <f>Breakeven_Analysis!$B$7</f>
        <v>55</v>
      </c>
      <c r="F32" s="80">
        <f>Breakeven_Analysis!$G$36</f>
        <v>52.842960169181367</v>
      </c>
      <c r="G32" s="81">
        <f>Regressions!$C$31+Regressions!$D$31*A32</f>
        <v>201.38000000000002</v>
      </c>
      <c r="H32" s="81">
        <f>Breakeven_Analysis!$B$21+Breakeven_Analysis!$B$22*A32</f>
        <v>292.92</v>
      </c>
      <c r="I32" s="81">
        <f t="shared" si="0"/>
        <v>292.92</v>
      </c>
      <c r="J32" s="81">
        <f>Breakeven_Analysis!$B$25*I32</f>
        <v>190.39800000000002</v>
      </c>
      <c r="K32" s="81">
        <f>Breakeven_Analysis!$B$26*I32</f>
        <v>219.69</v>
      </c>
      <c r="L32" s="81">
        <f>Breakeven_Analysis!$B$27*I32</f>
        <v>248.982</v>
      </c>
    </row>
    <row r="33" spans="1:12" ht="15" customHeight="1" x14ac:dyDescent="0.2">
      <c r="A33">
        <v>155</v>
      </c>
      <c r="B33">
        <f>Breakeven_Analysis!$B$25*(Breakeven_Analysis!$B$21+Breakeven_Analysis!$B$22*A33)</f>
        <v>196.70949999999999</v>
      </c>
      <c r="C33">
        <f>Breakeven_Analysis!$B$26*(Breakeven_Analysis!$B$21+Breakeven_Analysis!$B$22*A33)</f>
        <v>226.9725</v>
      </c>
      <c r="D33">
        <f>Breakeven_Analysis!$B$27*(Breakeven_Analysis!$B$21+Breakeven_Analysis!$B$22*A33)</f>
        <v>257.2355</v>
      </c>
      <c r="E33" s="79">
        <f>Breakeven_Analysis!$B$7</f>
        <v>55</v>
      </c>
      <c r="F33" s="80">
        <f>Breakeven_Analysis!$G$36</f>
        <v>52.842960169181367</v>
      </c>
      <c r="G33" s="81">
        <f>Regressions!$C$31+Regressions!$D$31*A33</f>
        <v>207.57500000000002</v>
      </c>
      <c r="H33" s="81">
        <f>Breakeven_Analysis!$B$21+Breakeven_Analysis!$B$22*A33</f>
        <v>302.63</v>
      </c>
      <c r="I33" s="81">
        <f t="shared" si="0"/>
        <v>302.63</v>
      </c>
      <c r="J33" s="81">
        <f>Breakeven_Analysis!$B$25*I33</f>
        <v>196.70949999999999</v>
      </c>
      <c r="K33" s="81">
        <f>Breakeven_Analysis!$B$26*I33</f>
        <v>226.9725</v>
      </c>
      <c r="L33" s="81">
        <f>Breakeven_Analysis!$B$27*I33</f>
        <v>257.2355</v>
      </c>
    </row>
    <row r="34" spans="1:12" ht="15" customHeight="1" x14ac:dyDescent="0.2">
      <c r="A34">
        <v>160</v>
      </c>
      <c r="B34">
        <f>Breakeven_Analysis!$B$25*(Breakeven_Analysis!$B$21+Breakeven_Analysis!$B$22*A34)</f>
        <v>203.02099999999999</v>
      </c>
      <c r="C34">
        <f>Breakeven_Analysis!$B$26*(Breakeven_Analysis!$B$21+Breakeven_Analysis!$B$22*A34)</f>
        <v>234.255</v>
      </c>
      <c r="D34">
        <f>Breakeven_Analysis!$B$27*(Breakeven_Analysis!$B$21+Breakeven_Analysis!$B$22*A34)</f>
        <v>265.48899999999998</v>
      </c>
      <c r="E34" s="79">
        <f>Breakeven_Analysis!$B$7</f>
        <v>55</v>
      </c>
      <c r="F34" s="80">
        <f>Breakeven_Analysis!$G$36</f>
        <v>52.842960169181367</v>
      </c>
      <c r="G34" s="81">
        <f>Regressions!$C$31+Regressions!$D$31*A34</f>
        <v>213.77</v>
      </c>
      <c r="H34" s="81">
        <f>Breakeven_Analysis!$B$21+Breakeven_Analysis!$B$22*A34</f>
        <v>312.33999999999997</v>
      </c>
      <c r="I34" s="81">
        <f t="shared" si="0"/>
        <v>312.33999999999997</v>
      </c>
      <c r="J34" s="81">
        <f>Breakeven_Analysis!$B$25*I34</f>
        <v>203.02099999999999</v>
      </c>
      <c r="K34" s="81">
        <f>Breakeven_Analysis!$B$26*I34</f>
        <v>234.255</v>
      </c>
      <c r="L34" s="81">
        <f>Breakeven_Analysis!$B$27*I34</f>
        <v>265.48899999999998</v>
      </c>
    </row>
    <row r="35" spans="1:12" ht="15" customHeight="1" x14ac:dyDescent="0.2">
      <c r="A35">
        <v>165</v>
      </c>
      <c r="B35">
        <f>Breakeven_Analysis!$B$25*(Breakeven_Analysis!$B$21+Breakeven_Analysis!$B$22*A35)</f>
        <v>209.33250000000001</v>
      </c>
      <c r="C35">
        <f>Breakeven_Analysis!$B$26*(Breakeven_Analysis!$B$21+Breakeven_Analysis!$B$22*A35)</f>
        <v>241.53750000000002</v>
      </c>
      <c r="D35">
        <f>Breakeven_Analysis!$B$27*(Breakeven_Analysis!$B$21+Breakeven_Analysis!$B$22*A35)</f>
        <v>273.74250000000001</v>
      </c>
      <c r="E35" s="79">
        <f>Breakeven_Analysis!$B$7</f>
        <v>55</v>
      </c>
      <c r="F35" s="80">
        <f>Breakeven_Analysis!$G$36</f>
        <v>52.842960169181367</v>
      </c>
      <c r="G35" s="81">
        <f>Regressions!$C$31+Regressions!$D$31*A35</f>
        <v>219.96500000000003</v>
      </c>
      <c r="H35" s="81">
        <f>Breakeven_Analysis!$B$21+Breakeven_Analysis!$B$22*A35</f>
        <v>322.05</v>
      </c>
      <c r="I35" s="81">
        <f t="shared" si="0"/>
        <v>322.05</v>
      </c>
      <c r="J35" s="81">
        <f>Breakeven_Analysis!$B$25*I35</f>
        <v>209.33250000000001</v>
      </c>
      <c r="K35" s="81">
        <f>Breakeven_Analysis!$B$26*I35</f>
        <v>241.53750000000002</v>
      </c>
      <c r="L35" s="81">
        <f>Breakeven_Analysis!$B$27*I35</f>
        <v>273.74250000000001</v>
      </c>
    </row>
    <row r="36" spans="1:12" ht="15" customHeight="1" x14ac:dyDescent="0.2">
      <c r="A36">
        <v>170</v>
      </c>
      <c r="B36">
        <f>Breakeven_Analysis!$B$25*(Breakeven_Analysis!$B$21+Breakeven_Analysis!$B$22*A36)</f>
        <v>215.64400000000001</v>
      </c>
      <c r="C36">
        <f>Breakeven_Analysis!$B$26*(Breakeven_Analysis!$B$21+Breakeven_Analysis!$B$22*A36)</f>
        <v>248.82</v>
      </c>
      <c r="D36">
        <f>Breakeven_Analysis!$B$27*(Breakeven_Analysis!$B$21+Breakeven_Analysis!$B$22*A36)</f>
        <v>281.99599999999998</v>
      </c>
      <c r="E36" s="79">
        <f>Breakeven_Analysis!$B$7</f>
        <v>55</v>
      </c>
      <c r="F36" s="80">
        <f>Breakeven_Analysis!$G$36</f>
        <v>52.842960169181367</v>
      </c>
      <c r="G36" s="81">
        <f>Regressions!$C$31+Regressions!$D$31*A36</f>
        <v>226.16000000000003</v>
      </c>
      <c r="H36" s="81">
        <f>Breakeven_Analysis!$B$21+Breakeven_Analysis!$B$22*A36</f>
        <v>331.76</v>
      </c>
      <c r="I36" s="81">
        <f t="shared" si="0"/>
        <v>331.76</v>
      </c>
      <c r="J36" s="81">
        <f>Breakeven_Analysis!$B$25*I36</f>
        <v>215.64400000000001</v>
      </c>
      <c r="K36" s="81">
        <f>Breakeven_Analysis!$B$26*I36</f>
        <v>248.82</v>
      </c>
      <c r="L36" s="81">
        <f>Breakeven_Analysis!$B$27*I36</f>
        <v>281.99599999999998</v>
      </c>
    </row>
    <row r="37" spans="1:12" ht="15" customHeight="1" x14ac:dyDescent="0.2">
      <c r="A37">
        <v>175</v>
      </c>
      <c r="B37">
        <f>Breakeven_Analysis!$B$25*(Breakeven_Analysis!$B$21+Breakeven_Analysis!$B$22*A37)</f>
        <v>221.9555</v>
      </c>
      <c r="C37">
        <f>Breakeven_Analysis!$B$26*(Breakeven_Analysis!$B$21+Breakeven_Analysis!$B$22*A37)</f>
        <v>256.10249999999996</v>
      </c>
      <c r="D37">
        <f>Breakeven_Analysis!$B$27*(Breakeven_Analysis!$B$21+Breakeven_Analysis!$B$22*A37)</f>
        <v>290.24949999999995</v>
      </c>
      <c r="E37" s="79">
        <f>Breakeven_Analysis!$B$7</f>
        <v>55</v>
      </c>
      <c r="F37" s="80">
        <f>Breakeven_Analysis!$G$36</f>
        <v>52.842960169181367</v>
      </c>
      <c r="G37" s="81">
        <f>Regressions!$C$31+Regressions!$D$31*A37</f>
        <v>232.35500000000002</v>
      </c>
      <c r="H37" s="81">
        <f>Breakeven_Analysis!$B$21+Breakeven_Analysis!$B$22*A37</f>
        <v>341.46999999999997</v>
      </c>
      <c r="I37" s="81">
        <f t="shared" si="0"/>
        <v>341.46999999999997</v>
      </c>
      <c r="J37" s="81">
        <f>Breakeven_Analysis!$B$25*I37</f>
        <v>221.9555</v>
      </c>
      <c r="K37" s="81">
        <f>Breakeven_Analysis!$B$26*I37</f>
        <v>256.10249999999996</v>
      </c>
      <c r="L37" s="81">
        <f>Breakeven_Analysis!$B$27*I37</f>
        <v>290.24949999999995</v>
      </c>
    </row>
    <row r="38" spans="1:12" ht="15" customHeight="1" x14ac:dyDescent="0.2">
      <c r="A38">
        <v>180</v>
      </c>
      <c r="B38">
        <f>Breakeven_Analysis!$B$25*(Breakeven_Analysis!$B$21+Breakeven_Analysis!$B$22*A38)</f>
        <v>228.26700000000002</v>
      </c>
      <c r="C38">
        <f>Breakeven_Analysis!$B$26*(Breakeven_Analysis!$B$21+Breakeven_Analysis!$B$22*A38)</f>
        <v>263.38499999999999</v>
      </c>
      <c r="D38">
        <f>Breakeven_Analysis!$B$27*(Breakeven_Analysis!$B$21+Breakeven_Analysis!$B$22*A38)</f>
        <v>298.50299999999999</v>
      </c>
      <c r="E38" s="79">
        <f>Breakeven_Analysis!$B$7</f>
        <v>55</v>
      </c>
      <c r="F38" s="80">
        <f>Breakeven_Analysis!$G$36</f>
        <v>52.842960169181367</v>
      </c>
      <c r="G38" s="81">
        <f>Regressions!$C$31+Regressions!$D$31*A38</f>
        <v>238.55</v>
      </c>
      <c r="H38" s="81">
        <f>Breakeven_Analysis!$B$21+Breakeven_Analysis!$B$22*A38</f>
        <v>351.18</v>
      </c>
      <c r="I38" s="81">
        <f t="shared" si="0"/>
        <v>351.18</v>
      </c>
      <c r="J38" s="81">
        <f>Breakeven_Analysis!$B$25*I38</f>
        <v>228.26700000000002</v>
      </c>
      <c r="K38" s="81">
        <f>Breakeven_Analysis!$B$26*I38</f>
        <v>263.38499999999999</v>
      </c>
      <c r="L38" s="81">
        <f>Breakeven_Analysis!$B$27*I38</f>
        <v>298.50299999999999</v>
      </c>
    </row>
    <row r="39" spans="1:12" ht="15" customHeight="1" x14ac:dyDescent="0.2">
      <c r="A39">
        <v>185</v>
      </c>
      <c r="B39">
        <f>Breakeven_Analysis!$B$25*(Breakeven_Analysis!$B$21+Breakeven_Analysis!$B$22*A39)</f>
        <v>234.57849999999999</v>
      </c>
      <c r="C39">
        <f>Breakeven_Analysis!$B$26*(Breakeven_Analysis!$B$21+Breakeven_Analysis!$B$22*A39)</f>
        <v>270.66750000000002</v>
      </c>
      <c r="D39">
        <f>Breakeven_Analysis!$B$27*(Breakeven_Analysis!$B$21+Breakeven_Analysis!$B$22*A39)</f>
        <v>306.75649999999996</v>
      </c>
      <c r="E39" s="79">
        <f>Breakeven_Analysis!$B$7</f>
        <v>55</v>
      </c>
      <c r="F39" s="80">
        <f>Breakeven_Analysis!$G$36</f>
        <v>52.842960169181367</v>
      </c>
      <c r="G39" s="81">
        <f>Regressions!$C$31+Regressions!$D$31*A39</f>
        <v>244.74500000000003</v>
      </c>
      <c r="H39" s="81">
        <f>Breakeven_Analysis!$B$21+Breakeven_Analysis!$B$22*A39</f>
        <v>360.89</v>
      </c>
      <c r="I39" s="81">
        <f t="shared" si="0"/>
        <v>360.89</v>
      </c>
      <c r="J39" s="81">
        <f>Breakeven_Analysis!$B$25*I39</f>
        <v>234.57849999999999</v>
      </c>
      <c r="K39" s="81">
        <f>Breakeven_Analysis!$B$26*I39</f>
        <v>270.66750000000002</v>
      </c>
      <c r="L39" s="81">
        <f>Breakeven_Analysis!$B$27*I39</f>
        <v>306.75649999999996</v>
      </c>
    </row>
    <row r="40" spans="1:12" ht="15" customHeight="1" x14ac:dyDescent="0.2">
      <c r="A40">
        <v>190</v>
      </c>
      <c r="B40">
        <f>Breakeven_Analysis!$B$25*(Breakeven_Analysis!$B$21+Breakeven_Analysis!$B$22*A40)</f>
        <v>240.89000000000001</v>
      </c>
      <c r="C40">
        <f>Breakeven_Analysis!$B$26*(Breakeven_Analysis!$B$21+Breakeven_Analysis!$B$22*A40)</f>
        <v>277.95000000000005</v>
      </c>
      <c r="D40">
        <f>Breakeven_Analysis!$B$27*(Breakeven_Analysis!$B$21+Breakeven_Analysis!$B$22*A40)</f>
        <v>315.01</v>
      </c>
      <c r="E40" s="79">
        <f>Breakeven_Analysis!$B$7</f>
        <v>55</v>
      </c>
      <c r="F40" s="80">
        <f>Breakeven_Analysis!$G$36</f>
        <v>52.842960169181367</v>
      </c>
    </row>
    <row r="41" spans="1:12" ht="15" customHeight="1" x14ac:dyDescent="0.2">
      <c r="A41">
        <v>195</v>
      </c>
      <c r="B41">
        <f>Breakeven_Analysis!$B$25*(Breakeven_Analysis!$B$21+Breakeven_Analysis!$B$22*A41)</f>
        <v>247.20150000000001</v>
      </c>
      <c r="C41">
        <f>Breakeven_Analysis!$B$26*(Breakeven_Analysis!$B$21+Breakeven_Analysis!$B$22*A41)</f>
        <v>285.23250000000002</v>
      </c>
      <c r="D41">
        <f>Breakeven_Analysis!$B$27*(Breakeven_Analysis!$B$21+Breakeven_Analysis!$B$22*A41)</f>
        <v>323.26350000000002</v>
      </c>
      <c r="E41" s="79">
        <f>Breakeven_Analysis!$B$7</f>
        <v>55</v>
      </c>
      <c r="F41" s="80">
        <f>Breakeven_Analysis!$G$36</f>
        <v>52.842960169181367</v>
      </c>
      <c r="G41" s="1" t="s">
        <v>613</v>
      </c>
      <c r="H41" s="1"/>
      <c r="I41" s="1"/>
      <c r="J41" s="1"/>
      <c r="K41" s="1"/>
      <c r="L41" s="1"/>
    </row>
    <row r="42" spans="1:12" ht="15" customHeight="1" x14ac:dyDescent="0.2">
      <c r="A42">
        <v>200</v>
      </c>
      <c r="B42">
        <f>Breakeven_Analysis!$B$25*(Breakeven_Analysis!$B$21+Breakeven_Analysis!$B$22*A42)</f>
        <v>253.51300000000001</v>
      </c>
      <c r="C42">
        <f>Breakeven_Analysis!$B$26*(Breakeven_Analysis!$B$21+Breakeven_Analysis!$B$22*A42)</f>
        <v>292.51499999999999</v>
      </c>
      <c r="D42">
        <f>Breakeven_Analysis!$B$27*(Breakeven_Analysis!$B$21+Breakeven_Analysis!$B$22*A42)</f>
        <v>331.517</v>
      </c>
      <c r="E42" s="79">
        <f>Breakeven_Analysis!$B$7</f>
        <v>55</v>
      </c>
      <c r="F42" s="80">
        <f>Breakeven_Analysis!$G$36</f>
        <v>52.842960169181367</v>
      </c>
    </row>
  </sheetData>
  <mergeCells count="1">
    <mergeCell ref="G41:L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Charts</vt:lpstr>
      <vt:lpstr>Assumptions_Sources</vt:lpstr>
      <vt:lpstr>Breakeven_Analysis</vt:lpstr>
      <vt:lpstr>Annual_Capture</vt:lpstr>
      <vt:lpstr>Monthly_Capture</vt:lpstr>
      <vt:lpstr>Sens_ExNegative</vt:lpstr>
      <vt:lpstr>Sens_Weighting</vt:lpstr>
      <vt:lpstr>Monthly_Panel</vt:lpstr>
      <vt:lpstr>Correlations</vt:lpstr>
      <vt:lpstr>Regressions</vt:lpstr>
      <vt:lpstr>Public_Benchmarks</vt:lpstr>
      <vt:lpstr>Methodology</vt:lpstr>
      <vt:lpstr>Chart_Data</vt:lpstr>
      <vt:lpstr>Chart_Data2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 Abid</dc:creator>
  <dc:description/>
  <cp:lastModifiedBy>Hamza Abid</cp:lastModifiedBy>
  <cp:revision>13</cp:revision>
  <dcterms:created xsi:type="dcterms:W3CDTF">2026-04-24T12:56:54Z</dcterms:created>
  <dcterms:modified xsi:type="dcterms:W3CDTF">2026-04-28T13:10:28Z</dcterms:modified>
  <dc:language>en-US</dc:language>
</cp:coreProperties>
</file>